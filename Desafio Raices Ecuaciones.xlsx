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reas MN\"/>
    </mc:Choice>
  </mc:AlternateContent>
  <xr:revisionPtr revIDLastSave="0" documentId="13_ncr:1_{49DAB13B-171C-44C5-AC47-922A42FC3CAE}" xr6:coauthVersionLast="47" xr6:coauthVersionMax="47" xr10:uidLastSave="{00000000-0000-0000-0000-000000000000}"/>
  <bookViews>
    <workbookView xWindow="-108" yWindow="-108" windowWidth="23256" windowHeight="12456" xr2:uid="{4BA7A4E5-5A6C-40BB-9662-9A69224C6453}"/>
  </bookViews>
  <sheets>
    <sheet name="EJERCICIO1" sheetId="1" r:id="rId1"/>
    <sheet name="EJERCICIO2" sheetId="2" r:id="rId2"/>
    <sheet name="EJERCICIO3" sheetId="3" r:id="rId3"/>
    <sheet name="EJERCICIO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3" l="1"/>
  <c r="C40" i="3"/>
  <c r="D40" i="3"/>
  <c r="E40" i="3"/>
  <c r="F40" i="3"/>
  <c r="G40" i="3"/>
  <c r="N55" i="3"/>
  <c r="P55" i="3" s="1"/>
  <c r="Q54" i="3"/>
  <c r="R54" i="3" s="1"/>
  <c r="O55" i="3" s="1"/>
  <c r="P54" i="3"/>
  <c r="E33" i="3"/>
  <c r="J55" i="3"/>
  <c r="H55" i="3"/>
  <c r="L54" i="3"/>
  <c r="I55" i="3" s="1"/>
  <c r="K54" i="3"/>
  <c r="J54" i="3"/>
  <c r="D54" i="3"/>
  <c r="B55" i="3"/>
  <c r="D55" i="3" s="1"/>
  <c r="E54" i="3"/>
  <c r="E19" i="3"/>
  <c r="B39" i="2"/>
  <c r="C39" i="2"/>
  <c r="D39" i="2"/>
  <c r="E39" i="2"/>
  <c r="F39" i="2" s="1"/>
  <c r="C40" i="2" s="1"/>
  <c r="B40" i="2"/>
  <c r="D40" i="2"/>
  <c r="D38" i="2"/>
  <c r="E38" i="2"/>
  <c r="F38" i="2"/>
  <c r="C38" i="2"/>
  <c r="B38" i="2"/>
  <c r="F37" i="2"/>
  <c r="E37" i="2"/>
  <c r="D37" i="2"/>
  <c r="E17" i="2"/>
  <c r="K31" i="4"/>
  <c r="F74" i="1"/>
  <c r="I32" i="4"/>
  <c r="I31" i="4"/>
  <c r="H32" i="4" s="1"/>
  <c r="G33" i="4" s="1"/>
  <c r="I33" i="4" s="1"/>
  <c r="G32" i="4"/>
  <c r="J31" i="4"/>
  <c r="E17" i="4"/>
  <c r="B83" i="1"/>
  <c r="C83" i="1"/>
  <c r="B84" i="1" s="1"/>
  <c r="D84" i="1" s="1"/>
  <c r="D83" i="1"/>
  <c r="E83" i="1"/>
  <c r="F83" i="1"/>
  <c r="C84" i="1" s="1"/>
  <c r="D82" i="1"/>
  <c r="E82" i="1"/>
  <c r="F82" i="1"/>
  <c r="C82" i="1"/>
  <c r="B82" i="1"/>
  <c r="F81" i="1"/>
  <c r="E81" i="1"/>
  <c r="D81" i="1"/>
  <c r="E48" i="1"/>
  <c r="B76" i="1"/>
  <c r="C76" i="1"/>
  <c r="D76" i="1"/>
  <c r="E76" i="1"/>
  <c r="F76" i="1"/>
  <c r="B77" i="1"/>
  <c r="C77" i="1"/>
  <c r="D77" i="1"/>
  <c r="E77" i="1"/>
  <c r="F77" i="1"/>
  <c r="B78" i="1"/>
  <c r="D78" i="1" s="1"/>
  <c r="C78" i="1"/>
  <c r="E78" i="1" s="1"/>
  <c r="F75" i="1"/>
  <c r="D75" i="1"/>
  <c r="E74" i="1"/>
  <c r="C75" i="1" s="1"/>
  <c r="B75" i="1"/>
  <c r="D74" i="1"/>
  <c r="E30" i="1"/>
  <c r="B33" i="4"/>
  <c r="D33" i="4" s="1"/>
  <c r="C33" i="4"/>
  <c r="C32" i="4"/>
  <c r="D32" i="4"/>
  <c r="C31" i="4"/>
  <c r="B32" i="4"/>
  <c r="D31" i="4"/>
  <c r="M43" i="3"/>
  <c r="N43" i="3"/>
  <c r="I43" i="3"/>
  <c r="H43" i="3"/>
  <c r="G44" i="3"/>
  <c r="D43" i="3"/>
  <c r="N19" i="3"/>
  <c r="C43" i="3"/>
  <c r="F19" i="3"/>
  <c r="B30" i="2"/>
  <c r="C30" i="2"/>
  <c r="D30" i="2"/>
  <c r="B31" i="2"/>
  <c r="C31" i="2"/>
  <c r="D31" i="2"/>
  <c r="B32" i="2"/>
  <c r="C32" i="2"/>
  <c r="D32" i="2"/>
  <c r="B33" i="2"/>
  <c r="C33" i="2"/>
  <c r="D33" i="2"/>
  <c r="C29" i="2"/>
  <c r="D29" i="2"/>
  <c r="B29" i="2"/>
  <c r="D28" i="2"/>
  <c r="C28" i="2"/>
  <c r="F17" i="2"/>
  <c r="D70" i="1"/>
  <c r="C67" i="1"/>
  <c r="B67" i="1"/>
  <c r="D67" i="1"/>
  <c r="B68" i="1"/>
  <c r="D68" i="1" s="1"/>
  <c r="C68" i="1"/>
  <c r="C66" i="1"/>
  <c r="D66" i="1"/>
  <c r="B66" i="1"/>
  <c r="D65" i="1"/>
  <c r="C65" i="1"/>
  <c r="B60" i="1"/>
  <c r="C60" i="1"/>
  <c r="D60" i="1"/>
  <c r="B61" i="1"/>
  <c r="C61" i="1" s="1"/>
  <c r="C59" i="1"/>
  <c r="D59" i="1"/>
  <c r="B59" i="1"/>
  <c r="D58" i="1"/>
  <c r="C58" i="1"/>
  <c r="C18" i="4"/>
  <c r="F18" i="4" s="1"/>
  <c r="B18" i="4"/>
  <c r="B19" i="4" s="1"/>
  <c r="F17" i="4"/>
  <c r="G17" i="4"/>
  <c r="C6" i="4"/>
  <c r="D17" i="4"/>
  <c r="C7" i="4"/>
  <c r="C34" i="3"/>
  <c r="F34" i="3" s="1"/>
  <c r="F33" i="3"/>
  <c r="D33" i="3"/>
  <c r="B34" i="3" s="1"/>
  <c r="M21" i="3"/>
  <c r="J21" i="3"/>
  <c r="L20" i="3"/>
  <c r="O20" i="3" s="1"/>
  <c r="M20" i="3"/>
  <c r="N20" i="3"/>
  <c r="K20" i="3"/>
  <c r="J20" i="3"/>
  <c r="O19" i="3"/>
  <c r="M19" i="3"/>
  <c r="L19" i="3"/>
  <c r="B20" i="3"/>
  <c r="E20" i="3" s="1"/>
  <c r="C21" i="3"/>
  <c r="D19" i="3"/>
  <c r="G19" i="3" s="1"/>
  <c r="C15" i="3"/>
  <c r="C14" i="3"/>
  <c r="C10" i="3"/>
  <c r="C11" i="3"/>
  <c r="C7" i="3"/>
  <c r="C6" i="3"/>
  <c r="C24" i="2"/>
  <c r="D24" i="2"/>
  <c r="G24" i="2"/>
  <c r="F24" i="2"/>
  <c r="B24" i="2"/>
  <c r="E24" i="2" s="1"/>
  <c r="C23" i="2"/>
  <c r="F23" i="2" s="1"/>
  <c r="B23" i="2"/>
  <c r="E23" i="2" s="1"/>
  <c r="D22" i="2"/>
  <c r="E22" i="2"/>
  <c r="F22" i="2"/>
  <c r="G22" i="2"/>
  <c r="C22" i="2"/>
  <c r="B22" i="2"/>
  <c r="D21" i="2"/>
  <c r="E21" i="2"/>
  <c r="F21" i="2"/>
  <c r="G21" i="2"/>
  <c r="C21" i="2"/>
  <c r="B21" i="2"/>
  <c r="D20" i="2"/>
  <c r="E20" i="2"/>
  <c r="F20" i="2"/>
  <c r="G20" i="2"/>
  <c r="C20" i="2"/>
  <c r="B20" i="2"/>
  <c r="D19" i="2"/>
  <c r="E19" i="2"/>
  <c r="F19" i="2"/>
  <c r="G19" i="2"/>
  <c r="C19" i="2"/>
  <c r="B19" i="2"/>
  <c r="D18" i="2"/>
  <c r="E18" i="2"/>
  <c r="F18" i="2"/>
  <c r="G18" i="2"/>
  <c r="C18" i="2"/>
  <c r="G17" i="2"/>
  <c r="D17" i="2"/>
  <c r="C6" i="2"/>
  <c r="C5" i="2"/>
  <c r="D54" i="1"/>
  <c r="G54" i="1" s="1"/>
  <c r="E54" i="1"/>
  <c r="F54" i="1"/>
  <c r="C54" i="1"/>
  <c r="B54" i="1"/>
  <c r="D53" i="1"/>
  <c r="E53" i="1"/>
  <c r="F53" i="1"/>
  <c r="G53" i="1"/>
  <c r="C53" i="1"/>
  <c r="B53" i="1"/>
  <c r="D52" i="1"/>
  <c r="E52" i="1"/>
  <c r="F52" i="1"/>
  <c r="G52" i="1"/>
  <c r="C52" i="1"/>
  <c r="B52" i="1"/>
  <c r="D51" i="1"/>
  <c r="E51" i="1"/>
  <c r="F51" i="1"/>
  <c r="G51" i="1"/>
  <c r="C51" i="1"/>
  <c r="B51" i="1"/>
  <c r="D50" i="1"/>
  <c r="E50" i="1"/>
  <c r="F50" i="1"/>
  <c r="G50" i="1"/>
  <c r="C50" i="1"/>
  <c r="B50" i="1"/>
  <c r="E49" i="1"/>
  <c r="F49" i="1"/>
  <c r="G49" i="1"/>
  <c r="D49" i="1"/>
  <c r="C49" i="1"/>
  <c r="B49" i="1"/>
  <c r="F48" i="1"/>
  <c r="G48" i="1"/>
  <c r="D48" i="1"/>
  <c r="D45" i="1"/>
  <c r="E45" i="1"/>
  <c r="F45" i="1"/>
  <c r="G45" i="1"/>
  <c r="C45" i="1"/>
  <c r="B45" i="1"/>
  <c r="B44" i="1"/>
  <c r="D44" i="1"/>
  <c r="E44" i="1"/>
  <c r="F44" i="1"/>
  <c r="G44" i="1"/>
  <c r="C44" i="1"/>
  <c r="D43" i="1"/>
  <c r="E43" i="1"/>
  <c r="F43" i="1"/>
  <c r="G43" i="1"/>
  <c r="C43" i="1"/>
  <c r="B43" i="1"/>
  <c r="D42" i="1"/>
  <c r="G42" i="1" s="1"/>
  <c r="E42" i="1"/>
  <c r="F42" i="1"/>
  <c r="C42" i="1"/>
  <c r="B42" i="1"/>
  <c r="E41" i="1"/>
  <c r="F41" i="1"/>
  <c r="G41" i="1"/>
  <c r="D41" i="1"/>
  <c r="C41" i="1"/>
  <c r="B41" i="1"/>
  <c r="E40" i="1"/>
  <c r="F40" i="1"/>
  <c r="G40" i="1"/>
  <c r="D40" i="1"/>
  <c r="C40" i="1"/>
  <c r="B40" i="1"/>
  <c r="E39" i="1"/>
  <c r="F39" i="1"/>
  <c r="G39" i="1"/>
  <c r="D39" i="1"/>
  <c r="C39" i="1"/>
  <c r="B39" i="1"/>
  <c r="E38" i="1"/>
  <c r="F38" i="1"/>
  <c r="G38" i="1"/>
  <c r="D38" i="1"/>
  <c r="C38" i="1"/>
  <c r="B38" i="1"/>
  <c r="E37" i="1"/>
  <c r="F37" i="1"/>
  <c r="G37" i="1"/>
  <c r="D37" i="1"/>
  <c r="B37" i="1"/>
  <c r="E36" i="1"/>
  <c r="F36" i="1"/>
  <c r="G36" i="1"/>
  <c r="D36" i="1"/>
  <c r="B36" i="1"/>
  <c r="E35" i="1"/>
  <c r="F35" i="1"/>
  <c r="G35" i="1"/>
  <c r="D35" i="1"/>
  <c r="C35" i="1"/>
  <c r="B35" i="1"/>
  <c r="E34" i="1"/>
  <c r="F34" i="1"/>
  <c r="G34" i="1"/>
  <c r="D34" i="1"/>
  <c r="E33" i="1"/>
  <c r="F33" i="1"/>
  <c r="G33" i="1"/>
  <c r="D33" i="1"/>
  <c r="E32" i="1"/>
  <c r="F32" i="1"/>
  <c r="D32" i="1"/>
  <c r="G32" i="1" s="1"/>
  <c r="E31" i="1"/>
  <c r="F31" i="1"/>
  <c r="D31" i="1"/>
  <c r="G31" i="1" s="1"/>
  <c r="F30" i="1"/>
  <c r="D30" i="1"/>
  <c r="G30" i="1" s="1"/>
  <c r="C19" i="1"/>
  <c r="C23" i="1"/>
  <c r="C20" i="1"/>
  <c r="C24" i="1"/>
  <c r="N56" i="3" l="1"/>
  <c r="P56" i="3" s="1"/>
  <c r="Q55" i="3"/>
  <c r="R55" i="3" s="1"/>
  <c r="O56" i="3" s="1"/>
  <c r="D34" i="3"/>
  <c r="E34" i="3"/>
  <c r="B35" i="3"/>
  <c r="K55" i="3"/>
  <c r="L55" i="3"/>
  <c r="I56" i="3" s="1"/>
  <c r="H56" i="3"/>
  <c r="J56" i="3" s="1"/>
  <c r="B44" i="3"/>
  <c r="C44" i="3" s="1"/>
  <c r="K21" i="3"/>
  <c r="G33" i="3"/>
  <c r="F54" i="3"/>
  <c r="C55" i="3" s="1"/>
  <c r="D20" i="3"/>
  <c r="L44" i="3"/>
  <c r="B56" i="3"/>
  <c r="D56" i="3" s="1"/>
  <c r="E55" i="3"/>
  <c r="F55" i="3" s="1"/>
  <c r="C56" i="3" s="1"/>
  <c r="E40" i="2"/>
  <c r="F40" i="2" s="1"/>
  <c r="C41" i="2" s="1"/>
  <c r="B41" i="2"/>
  <c r="D41" i="2" s="1"/>
  <c r="J32" i="4"/>
  <c r="K32" i="4" s="1"/>
  <c r="H33" i="4" s="1"/>
  <c r="E84" i="1"/>
  <c r="F84" i="1"/>
  <c r="F78" i="1"/>
  <c r="E75" i="1"/>
  <c r="B34" i="4"/>
  <c r="B20" i="4"/>
  <c r="E19" i="4"/>
  <c r="E18" i="4"/>
  <c r="D18" i="4"/>
  <c r="I44" i="3"/>
  <c r="H44" i="3"/>
  <c r="B69" i="1"/>
  <c r="D61" i="1"/>
  <c r="B62" i="1" s="1"/>
  <c r="F21" i="3"/>
  <c r="B21" i="3"/>
  <c r="B22" i="3" s="1"/>
  <c r="F20" i="3"/>
  <c r="D23" i="2"/>
  <c r="G23" i="2" s="1"/>
  <c r="Q56" i="3" l="1"/>
  <c r="R56" i="3" s="1"/>
  <c r="O57" i="3" s="1"/>
  <c r="N57" i="3"/>
  <c r="P57" i="3" s="1"/>
  <c r="K56" i="3"/>
  <c r="L56" i="3"/>
  <c r="I57" i="3" s="1"/>
  <c r="H57" i="3"/>
  <c r="J57" i="3" s="1"/>
  <c r="K22" i="3"/>
  <c r="N22" i="3" s="1"/>
  <c r="L21" i="3"/>
  <c r="N21" i="3"/>
  <c r="E35" i="3"/>
  <c r="B36" i="3"/>
  <c r="G34" i="3"/>
  <c r="C35" i="3"/>
  <c r="D44" i="3"/>
  <c r="B45" i="3" s="1"/>
  <c r="B46" i="3" s="1"/>
  <c r="L45" i="3"/>
  <c r="M44" i="3"/>
  <c r="N44" i="3"/>
  <c r="G45" i="3"/>
  <c r="Q57" i="3"/>
  <c r="N58" i="3"/>
  <c r="P58" i="3" s="1"/>
  <c r="R57" i="3"/>
  <c r="O58" i="3" s="1"/>
  <c r="E56" i="3"/>
  <c r="F56" i="3"/>
  <c r="C57" i="3" s="1"/>
  <c r="B57" i="3"/>
  <c r="D57" i="3" s="1"/>
  <c r="B42" i="2"/>
  <c r="D42" i="2" s="1"/>
  <c r="E41" i="2"/>
  <c r="F41" i="2" s="1"/>
  <c r="C42" i="2" s="1"/>
  <c r="J33" i="4"/>
  <c r="K33" i="4" s="1"/>
  <c r="H34" i="4" s="1"/>
  <c r="G34" i="4"/>
  <c r="I34" i="4" s="1"/>
  <c r="C34" i="4"/>
  <c r="B35" i="4" s="1"/>
  <c r="D34" i="4"/>
  <c r="G18" i="4"/>
  <c r="C19" i="4"/>
  <c r="E20" i="4"/>
  <c r="H45" i="3"/>
  <c r="I45" i="3"/>
  <c r="C45" i="3"/>
  <c r="D45" i="3"/>
  <c r="C69" i="1"/>
  <c r="D69" i="1"/>
  <c r="B70" i="1" s="1"/>
  <c r="C62" i="1"/>
  <c r="D62" i="1"/>
  <c r="G20" i="3"/>
  <c r="D21" i="3"/>
  <c r="C22" i="3" s="1"/>
  <c r="F22" i="3" s="1"/>
  <c r="E21" i="3"/>
  <c r="D35" i="3" l="1"/>
  <c r="F35" i="3"/>
  <c r="K57" i="3"/>
  <c r="L57" i="3"/>
  <c r="I58" i="3" s="1"/>
  <c r="H58" i="3"/>
  <c r="J58" i="3" s="1"/>
  <c r="B37" i="3"/>
  <c r="E36" i="3"/>
  <c r="J22" i="3"/>
  <c r="O21" i="3"/>
  <c r="M45" i="3"/>
  <c r="L46" i="3" s="1"/>
  <c r="N45" i="3"/>
  <c r="Q58" i="3"/>
  <c r="R58" i="3" s="1"/>
  <c r="O59" i="3" s="1"/>
  <c r="N59" i="3"/>
  <c r="P59" i="3" s="1"/>
  <c r="E57" i="3"/>
  <c r="F57" i="3"/>
  <c r="C58" i="3" s="1"/>
  <c r="B58" i="3"/>
  <c r="D58" i="3" s="1"/>
  <c r="E42" i="2"/>
  <c r="F42" i="2"/>
  <c r="C43" i="2" s="1"/>
  <c r="B43" i="2"/>
  <c r="D43" i="2" s="1"/>
  <c r="G35" i="4"/>
  <c r="I35" i="4" s="1"/>
  <c r="J34" i="4"/>
  <c r="K34" i="4"/>
  <c r="H35" i="4" s="1"/>
  <c r="C35" i="4"/>
  <c r="D35" i="4"/>
  <c r="B36" i="4"/>
  <c r="F19" i="4"/>
  <c r="D19" i="4"/>
  <c r="G46" i="3"/>
  <c r="H46" i="3"/>
  <c r="I46" i="3"/>
  <c r="C46" i="3"/>
  <c r="D46" i="3"/>
  <c r="C70" i="1"/>
  <c r="G21" i="3"/>
  <c r="M46" i="3" l="1"/>
  <c r="N46" i="3"/>
  <c r="L47" i="3"/>
  <c r="M22" i="3"/>
  <c r="J23" i="3"/>
  <c r="L22" i="3"/>
  <c r="K58" i="3"/>
  <c r="H59" i="3"/>
  <c r="J59" i="3" s="1"/>
  <c r="L58" i="3"/>
  <c r="I59" i="3" s="1"/>
  <c r="K59" i="3" s="1"/>
  <c r="L59" i="3" s="1"/>
  <c r="B47" i="3"/>
  <c r="C47" i="3" s="1"/>
  <c r="E37" i="3"/>
  <c r="G35" i="3"/>
  <c r="C36" i="3"/>
  <c r="Q59" i="3"/>
  <c r="R59" i="3" s="1"/>
  <c r="O60" i="3" s="1"/>
  <c r="N60" i="3"/>
  <c r="P60" i="3" s="1"/>
  <c r="E58" i="3"/>
  <c r="F58" i="3" s="1"/>
  <c r="C59" i="3" s="1"/>
  <c r="B59" i="3"/>
  <c r="D59" i="3" s="1"/>
  <c r="B44" i="2"/>
  <c r="D44" i="2" s="1"/>
  <c r="E43" i="2"/>
  <c r="F43" i="2" s="1"/>
  <c r="C44" i="2" s="1"/>
  <c r="J35" i="4"/>
  <c r="G36" i="4"/>
  <c r="I36" i="4" s="1"/>
  <c r="K35" i="4"/>
  <c r="H36" i="4" s="1"/>
  <c r="C36" i="4"/>
  <c r="B37" i="4" s="1"/>
  <c r="D36" i="4"/>
  <c r="G19" i="4"/>
  <c r="C20" i="4"/>
  <c r="G47" i="3"/>
  <c r="H47" i="3"/>
  <c r="I47" i="3"/>
  <c r="G48" i="3" s="1"/>
  <c r="E22" i="3"/>
  <c r="B23" i="3"/>
  <c r="D22" i="3"/>
  <c r="D47" i="3" l="1"/>
  <c r="B48" i="3" s="1"/>
  <c r="O22" i="3"/>
  <c r="K23" i="3"/>
  <c r="N23" i="3" s="1"/>
  <c r="J24" i="3"/>
  <c r="L23" i="3"/>
  <c r="M23" i="3"/>
  <c r="M47" i="3"/>
  <c r="N47" i="3"/>
  <c r="L48" i="3"/>
  <c r="F36" i="3"/>
  <c r="D36" i="3"/>
  <c r="Q60" i="3"/>
  <c r="R60" i="3" s="1"/>
  <c r="O61" i="3" s="1"/>
  <c r="N61" i="3"/>
  <c r="P61" i="3" s="1"/>
  <c r="B60" i="3"/>
  <c r="D60" i="3" s="1"/>
  <c r="E59" i="3"/>
  <c r="F59" i="3"/>
  <c r="C60" i="3" s="1"/>
  <c r="E44" i="2"/>
  <c r="F44" i="2" s="1"/>
  <c r="J36" i="4"/>
  <c r="K36" i="4" s="1"/>
  <c r="C37" i="4"/>
  <c r="D37" i="4"/>
  <c r="C21" i="4"/>
  <c r="F21" i="4" s="1"/>
  <c r="F20" i="4"/>
  <c r="D20" i="4"/>
  <c r="H48" i="3"/>
  <c r="G49" i="3" s="1"/>
  <c r="I48" i="3"/>
  <c r="C48" i="3"/>
  <c r="D48" i="3"/>
  <c r="E23" i="3"/>
  <c r="B24" i="3"/>
  <c r="C23" i="3"/>
  <c r="F23" i="3" s="1"/>
  <c r="G22" i="3"/>
  <c r="C37" i="3" l="1"/>
  <c r="G36" i="3"/>
  <c r="N48" i="3"/>
  <c r="M48" i="3"/>
  <c r="L49" i="3" s="1"/>
  <c r="K24" i="3"/>
  <c r="N24" i="3" s="1"/>
  <c r="O23" i="3"/>
  <c r="M24" i="3"/>
  <c r="J25" i="3"/>
  <c r="L24" i="3"/>
  <c r="B49" i="3"/>
  <c r="D49" i="3" s="1"/>
  <c r="Q61" i="3"/>
  <c r="R61" i="3" s="1"/>
  <c r="E60" i="3"/>
  <c r="F60" i="3" s="1"/>
  <c r="C61" i="3" s="1"/>
  <c r="B61" i="3"/>
  <c r="D61" i="3" s="1"/>
  <c r="B21" i="4"/>
  <c r="G20" i="4"/>
  <c r="H49" i="3"/>
  <c r="I49" i="3"/>
  <c r="G50" i="3"/>
  <c r="E24" i="3"/>
  <c r="D23" i="3"/>
  <c r="M49" i="3" l="1"/>
  <c r="N49" i="3"/>
  <c r="C49" i="3"/>
  <c r="B50" i="3" s="1"/>
  <c r="J26" i="3"/>
  <c r="M25" i="3"/>
  <c r="O24" i="3"/>
  <c r="K25" i="3"/>
  <c r="N25" i="3" s="1"/>
  <c r="F37" i="3"/>
  <c r="C38" i="3"/>
  <c r="D37" i="3"/>
  <c r="B62" i="3"/>
  <c r="D62" i="3" s="1"/>
  <c r="E61" i="3"/>
  <c r="F61" i="3" s="1"/>
  <c r="C62" i="3" s="1"/>
  <c r="B22" i="4"/>
  <c r="D21" i="4"/>
  <c r="E21" i="4"/>
  <c r="I50" i="3"/>
  <c r="H50" i="3"/>
  <c r="C50" i="3"/>
  <c r="D50" i="3"/>
  <c r="G23" i="3"/>
  <c r="C24" i="3"/>
  <c r="C25" i="3" s="1"/>
  <c r="G37" i="3" l="1"/>
  <c r="B38" i="3"/>
  <c r="C39" i="3"/>
  <c r="F39" i="3" s="1"/>
  <c r="F38" i="3"/>
  <c r="L25" i="3"/>
  <c r="M26" i="3"/>
  <c r="E62" i="3"/>
  <c r="F62" i="3"/>
  <c r="G21" i="4"/>
  <c r="C22" i="4"/>
  <c r="F22" i="4" s="1"/>
  <c r="D22" i="4"/>
  <c r="G22" i="4" s="1"/>
  <c r="E22" i="4"/>
  <c r="F24" i="3"/>
  <c r="D24" i="3"/>
  <c r="B25" i="3" s="1"/>
  <c r="K26" i="3" l="1"/>
  <c r="O25" i="3"/>
  <c r="E25" i="3"/>
  <c r="B26" i="3"/>
  <c r="D38" i="3"/>
  <c r="E38" i="3"/>
  <c r="G24" i="3"/>
  <c r="B39" i="3" l="1"/>
  <c r="G38" i="3"/>
  <c r="B27" i="3"/>
  <c r="E26" i="3"/>
  <c r="N26" i="3"/>
  <c r="K27" i="3"/>
  <c r="L26" i="3"/>
  <c r="F25" i="3"/>
  <c r="D25" i="3"/>
  <c r="E27" i="3" l="1"/>
  <c r="B28" i="3"/>
  <c r="D39" i="3"/>
  <c r="G39" i="3" s="1"/>
  <c r="E39" i="3"/>
  <c r="O26" i="3"/>
  <c r="J27" i="3"/>
  <c r="M27" i="3" s="1"/>
  <c r="L27" i="3"/>
  <c r="O27" i="3" s="1"/>
  <c r="N27" i="3"/>
  <c r="G25" i="3"/>
  <c r="C26" i="3"/>
  <c r="E28" i="3" l="1"/>
  <c r="B29" i="3"/>
  <c r="B30" i="3" s="1"/>
  <c r="E30" i="3" s="1"/>
  <c r="F26" i="3"/>
  <c r="D26" i="3"/>
  <c r="C27" i="3" l="1"/>
  <c r="G26" i="3"/>
  <c r="F27" i="3" l="1"/>
  <c r="D27" i="3"/>
  <c r="G27" i="3" l="1"/>
  <c r="C28" i="3"/>
  <c r="D28" i="3" l="1"/>
  <c r="C29" i="3" s="1"/>
  <c r="F28" i="3"/>
  <c r="F29" i="3" l="1"/>
  <c r="G28" i="3"/>
  <c r="E29" i="3"/>
  <c r="D29" i="3" l="1"/>
  <c r="G29" i="3" l="1"/>
  <c r="C30" i="3"/>
  <c r="D30" i="3" l="1"/>
  <c r="G30" i="3" s="1"/>
  <c r="F30" i="3"/>
</calcChain>
</file>

<file path=xl/sharedStrings.xml><?xml version="1.0" encoding="utf-8"?>
<sst xmlns="http://schemas.openxmlformats.org/spreadsheetml/2006/main" count="140" uniqueCount="34">
  <si>
    <t>intervalo [0,8]</t>
  </si>
  <si>
    <t>f(x)=</t>
  </si>
  <si>
    <t>3sin(0,5x)-0,5x+20=0</t>
  </si>
  <si>
    <t>F(x)=</t>
  </si>
  <si>
    <t>x^3-e^0,8x-20=0</t>
  </si>
  <si>
    <t>x</t>
  </si>
  <si>
    <t>f(x)</t>
  </si>
  <si>
    <t>Metodo Biseccion</t>
  </si>
  <si>
    <t>a</t>
  </si>
  <si>
    <t>b</t>
  </si>
  <si>
    <t>f(a)</t>
  </si>
  <si>
    <t>f(b)</t>
  </si>
  <si>
    <t>f©</t>
  </si>
  <si>
    <t>f(a)*f(b)&lt;0</t>
  </si>
  <si>
    <t>c</t>
  </si>
  <si>
    <t>METODO DE BISECCION</t>
  </si>
  <si>
    <t xml:space="preserve">entonces existe en el intervalo al menos una raiz </t>
  </si>
  <si>
    <t xml:space="preserve">f©&lt;tol, entonces c es la raiz </t>
  </si>
  <si>
    <t>tol=0,001</t>
  </si>
  <si>
    <t xml:space="preserve">METODO BISECCION </t>
  </si>
  <si>
    <t>toleracia=</t>
  </si>
  <si>
    <t>x^3-x^2*e^-0,5x-3x+1=0</t>
  </si>
  <si>
    <t>cos^2(x)-0,5xe^0,3x+5</t>
  </si>
  <si>
    <t>tol=</t>
  </si>
  <si>
    <t>+</t>
  </si>
  <si>
    <t xml:space="preserve">METODO DE BISECCION </t>
  </si>
  <si>
    <t xml:space="preserve">METODO DE NEWTON </t>
  </si>
  <si>
    <t>f'(x)</t>
  </si>
  <si>
    <t>hasta que f(x)&lt;tol</t>
  </si>
  <si>
    <t xml:space="preserve">METODO NEWTON </t>
  </si>
  <si>
    <t>METODO NEWTON</t>
  </si>
  <si>
    <t xml:space="preserve">METODO SECANTE </t>
  </si>
  <si>
    <t>METODO SECANTE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</si>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</sst>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0" fillId="7" borderId="0" xfId="0" applyFill="1"/>
    <xf numFmtId="0" fontId="0" fillId="7" borderId="1" xfId="0" applyFill="1" applyBorder="1"/>
    <xf numFmtId="0" fontId="0" fillId="8" borderId="1" xfId="0" applyFill="1" applyBorder="1"/>
    <xf numFmtId="0" fontId="0" fillId="0" borderId="1" xfId="0" applyBorder="1"/>
    <xf numFmtId="0" fontId="0" fillId="9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10" borderId="0" xfId="0" applyFill="1"/>
    <xf numFmtId="0" fontId="0" fillId="11" borderId="1" xfId="0" applyFill="1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57137</xdr:rowOff>
    </xdr:from>
    <xdr:to>
      <xdr:col>7</xdr:col>
      <xdr:colOff>649322</xdr:colOff>
      <xdr:row>12</xdr:row>
      <xdr:rowOff>175876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7EB117-7734-CD97-9A07-CD6C4C3F3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7137"/>
          <a:ext cx="6082382" cy="23132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121920</xdr:rowOff>
    </xdr:to>
    <xdr:sp macro="" textlink="">
      <xdr:nvSpPr>
        <xdr:cNvPr id="1026" name="AutoShape 2" descr="Imagen de salida">
          <a:extLst>
            <a:ext uri="{FF2B5EF4-FFF2-40B4-BE49-F238E27FC236}">
              <a16:creationId xmlns:a16="http://schemas.microsoft.com/office/drawing/2014/main" id="{987615F9-F41B-49C9-E59E-406C86503F3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487680</xdr:colOff>
      <xdr:row>12</xdr:row>
      <xdr:rowOff>176326</xdr:rowOff>
    </xdr:from>
    <xdr:to>
      <xdr:col>14</xdr:col>
      <xdr:colOff>113223</xdr:colOff>
      <xdr:row>28</xdr:row>
      <xdr:rowOff>83819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EA5071-9649-6E9B-FE07-7CE317026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56" t="338" b="15445"/>
        <a:stretch/>
      </xdr:blipFill>
      <xdr:spPr>
        <a:xfrm>
          <a:off x="6827520" y="2370886"/>
          <a:ext cx="4380423" cy="2833573"/>
        </a:xfrm>
        <a:prstGeom prst="rect">
          <a:avLst/>
        </a:prstGeom>
      </xdr:spPr>
    </xdr:pic>
    <xdr:clientData/>
  </xdr:twoCellAnchor>
  <xdr:twoCellAnchor editAs="oneCell">
    <xdr:from>
      <xdr:col>8</xdr:col>
      <xdr:colOff>529046</xdr:colOff>
      <xdr:row>28</xdr:row>
      <xdr:rowOff>106680</xdr:rowOff>
    </xdr:from>
    <xdr:to>
      <xdr:col>13</xdr:col>
      <xdr:colOff>667396</xdr:colOff>
      <xdr:row>33</xdr:row>
      <xdr:rowOff>19180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BE0D06-0209-1F4A-B73E-78A67EAB7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68886" y="5227320"/>
          <a:ext cx="4100750" cy="8269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14</xdr:col>
      <xdr:colOff>76764</xdr:colOff>
      <xdr:row>38</xdr:row>
      <xdr:rowOff>125850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817C6E-3294-66F7-EFA9-6BD025349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2320" y="6217920"/>
          <a:ext cx="4039164" cy="857370"/>
        </a:xfrm>
        <a:prstGeom prst="rect">
          <a:avLst/>
        </a:prstGeom>
      </xdr:spPr>
    </xdr:pic>
    <xdr:clientData/>
  </xdr:twoCellAnchor>
  <xdr:twoCellAnchor editAs="oneCell">
    <xdr:from>
      <xdr:col>4</xdr:col>
      <xdr:colOff>784860</xdr:colOff>
      <xdr:row>56</xdr:row>
      <xdr:rowOff>22861</xdr:rowOff>
    </xdr:from>
    <xdr:to>
      <xdr:col>7</xdr:col>
      <xdr:colOff>350520</xdr:colOff>
      <xdr:row>57</xdr:row>
      <xdr:rowOff>182443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36D46C-5A79-3579-695B-28DD22161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54780" y="10264141"/>
          <a:ext cx="1943100" cy="3424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147514</xdr:rowOff>
    </xdr:from>
    <xdr:to>
      <xdr:col>8</xdr:col>
      <xdr:colOff>318969</xdr:colOff>
      <xdr:row>12</xdr:row>
      <xdr:rowOff>90081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F2B42E-FC6C-4FBE-E2EA-7F175F87A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8520" y="147514"/>
          <a:ext cx="3260289" cy="2137127"/>
        </a:xfrm>
        <a:prstGeom prst="rect">
          <a:avLst/>
        </a:prstGeom>
      </xdr:spPr>
    </xdr:pic>
    <xdr:clientData/>
  </xdr:twoCellAnchor>
  <xdr:twoCellAnchor editAs="oneCell">
    <xdr:from>
      <xdr:col>7</xdr:col>
      <xdr:colOff>373380</xdr:colOff>
      <xdr:row>17</xdr:row>
      <xdr:rowOff>83820</xdr:rowOff>
    </xdr:from>
    <xdr:to>
      <xdr:col>11</xdr:col>
      <xdr:colOff>328096</xdr:colOff>
      <xdr:row>21</xdr:row>
      <xdr:rowOff>114406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4A0C0E-1087-FABA-8D0B-7E80B31D5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0740" y="3192780"/>
          <a:ext cx="3124636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8759</xdr:colOff>
      <xdr:row>24</xdr:row>
      <xdr:rowOff>178837</xdr:rowOff>
    </xdr:from>
    <xdr:to>
      <xdr:col>9</xdr:col>
      <xdr:colOff>146627</xdr:colOff>
      <xdr:row>32</xdr:row>
      <xdr:rowOff>33064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950F12-CAE7-7053-57EE-45FD32041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50138" y="4593182"/>
          <a:ext cx="3290972" cy="1325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25273</xdr:colOff>
      <xdr:row>0</xdr:row>
      <xdr:rowOff>153798</xdr:rowOff>
    </xdr:from>
    <xdr:to>
      <xdr:col>8</xdr:col>
      <xdr:colOff>545285</xdr:colOff>
      <xdr:row>16</xdr:row>
      <xdr:rowOff>22495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B7E74B-EC5B-074E-2FEF-78D41830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26" y="153798"/>
          <a:ext cx="3679865" cy="2776880"/>
        </a:xfrm>
        <a:prstGeom prst="rect">
          <a:avLst/>
        </a:prstGeom>
      </xdr:spPr>
    </xdr:pic>
    <xdr:clientData/>
  </xdr:twoCellAnchor>
  <xdr:twoCellAnchor editAs="oneCell">
    <xdr:from>
      <xdr:col>7</xdr:col>
      <xdr:colOff>775982</xdr:colOff>
      <xdr:row>31</xdr:row>
      <xdr:rowOff>148291</xdr:rowOff>
    </xdr:from>
    <xdr:to>
      <xdr:col>12</xdr:col>
      <xdr:colOff>112703</xdr:colOff>
      <xdr:row>38</xdr:row>
      <xdr:rowOff>46790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8E8473-5AF9-511B-ADE0-A8C722A84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725" y="5782897"/>
          <a:ext cx="3286538" cy="1170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14296</xdr:colOff>
      <xdr:row>0</xdr:row>
      <xdr:rowOff>180078</xdr:rowOff>
    </xdr:from>
    <xdr:to>
      <xdr:col>8</xdr:col>
      <xdr:colOff>122973</xdr:colOff>
      <xdr:row>14</xdr:row>
      <xdr:rowOff>62871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57393D-5DBB-3E7C-A0CA-DD2478B6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9527" y="180078"/>
          <a:ext cx="3273908" cy="24267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132580</xdr:rowOff>
    </xdr:from>
    <xdr:to>
      <xdr:col>6</xdr:col>
      <xdr:colOff>166471</xdr:colOff>
      <xdr:row>27</xdr:row>
      <xdr:rowOff>177642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4CCA01-C97A-2F8F-912D-4BF056CD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3923" y="4130149"/>
          <a:ext cx="2540394" cy="953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E168-487A-4908-9E41-2408CB126C57}">
  <dimension ref="A15:G84"/>
  <sheetViews>
    <sheetView tabSelected="1" zoomScale="86" workbookViewId="0">
      <selection activeCell="G17" sqref="G17"/>
    </sheetView>
  </sheetViews>
  <sheetFormatPr baseColWidth="10" defaultRowHeight="14.4" x14ac:dyDescent="0.3"/>
  <sheetData>
    <row r="15" spans="2:3" x14ac:dyDescent="0.3">
      <c r="B15" t="s">
        <v>3</v>
      </c>
      <c r="C15" t="s">
        <v>4</v>
      </c>
    </row>
    <row r="16" spans="2:3" x14ac:dyDescent="0.3">
      <c r="B16" t="s">
        <v>0</v>
      </c>
    </row>
    <row r="17" spans="1:7" x14ac:dyDescent="0.3">
      <c r="A17" t="s">
        <v>7</v>
      </c>
    </row>
    <row r="18" spans="1:7" x14ac:dyDescent="0.3">
      <c r="B18" s="14" t="s">
        <v>5</v>
      </c>
      <c r="C18" s="14" t="s">
        <v>6</v>
      </c>
    </row>
    <row r="19" spans="1:7" x14ac:dyDescent="0.3">
      <c r="B19" s="8">
        <v>3.2</v>
      </c>
      <c r="C19" s="8">
        <f>+B19^3-EXP(0.8*B19)-20</f>
        <v>-0.16781731554307555</v>
      </c>
    </row>
    <row r="20" spans="1:7" x14ac:dyDescent="0.3">
      <c r="B20" s="8">
        <v>3.3</v>
      </c>
      <c r="C20" s="8">
        <f t="shared" ref="C20:C27" si="0">+B20^3-EXP(0.8*B20)-20</f>
        <v>1.9237963922663823</v>
      </c>
    </row>
    <row r="21" spans="1:7" x14ac:dyDescent="0.3">
      <c r="E21" t="s">
        <v>13</v>
      </c>
      <c r="F21" t="s">
        <v>16</v>
      </c>
    </row>
    <row r="22" spans="1:7" x14ac:dyDescent="0.3">
      <c r="B22" s="14" t="s">
        <v>33</v>
      </c>
      <c r="C22" s="14" t="s">
        <v>6</v>
      </c>
    </row>
    <row r="23" spans="1:7" x14ac:dyDescent="0.3">
      <c r="B23" s="15">
        <v>7.4</v>
      </c>
      <c r="C23" s="15">
        <f>+B23^3-EXP(0.8*B23)-20</f>
        <v>12.812286123817501</v>
      </c>
    </row>
    <row r="24" spans="1:7" x14ac:dyDescent="0.3">
      <c r="B24" s="15">
        <v>7.5</v>
      </c>
      <c r="C24" s="15">
        <f t="shared" si="0"/>
        <v>-1.5537934927351102</v>
      </c>
    </row>
    <row r="25" spans="1:7" x14ac:dyDescent="0.3">
      <c r="E25" t="s">
        <v>18</v>
      </c>
    </row>
    <row r="26" spans="1:7" x14ac:dyDescent="0.3">
      <c r="E26" t="s">
        <v>17</v>
      </c>
    </row>
    <row r="28" spans="1:7" x14ac:dyDescent="0.3">
      <c r="A28" t="s">
        <v>15</v>
      </c>
    </row>
    <row r="29" spans="1:7" x14ac:dyDescent="0.3">
      <c r="B29" s="2" t="s">
        <v>8</v>
      </c>
      <c r="C29" s="2" t="s">
        <v>9</v>
      </c>
      <c r="D29" s="2" t="s">
        <v>14</v>
      </c>
      <c r="E29" s="2" t="s">
        <v>10</v>
      </c>
      <c r="F29" s="2" t="s">
        <v>11</v>
      </c>
      <c r="G29" s="2" t="s">
        <v>12</v>
      </c>
    </row>
    <row r="30" spans="1:7" x14ac:dyDescent="0.3">
      <c r="A30">
        <v>1</v>
      </c>
      <c r="B30">
        <v>3.2</v>
      </c>
      <c r="C30">
        <v>3.3</v>
      </c>
      <c r="D30">
        <f>-(B30+C30)/2</f>
        <v>-3.25</v>
      </c>
      <c r="E30">
        <f>+B30^3-EXP(0.8*B30)-20</f>
        <v>-0.16781731554307555</v>
      </c>
      <c r="F30">
        <f t="shared" ref="F30:F45" si="1">+C30^3-EXP(0.8*C30)-20</f>
        <v>1.9237963922663823</v>
      </c>
      <c r="G30">
        <f t="shared" ref="G30" si="2">+D30^3-EXP(0.8*D30)-20</f>
        <v>-54.402398578214331</v>
      </c>
    </row>
    <row r="31" spans="1:7" x14ac:dyDescent="0.3">
      <c r="A31">
        <v>2</v>
      </c>
      <c r="B31">
        <v>-3.25</v>
      </c>
      <c r="C31">
        <v>3.3</v>
      </c>
      <c r="D31">
        <f>+(B31+C31)/2</f>
        <v>2.4999999999999911E-2</v>
      </c>
      <c r="E31">
        <f t="shared" ref="E30:E45" si="3">+B31^3-EXP(0.8*B31)-20</f>
        <v>-54.402398578214331</v>
      </c>
      <c r="F31">
        <f t="shared" si="1"/>
        <v>1.9237963922663823</v>
      </c>
      <c r="G31">
        <f t="shared" ref="G31" si="4">+D31^3-EXP(0.8*D31)-20</f>
        <v>-21.020185715026756</v>
      </c>
    </row>
    <row r="32" spans="1:7" x14ac:dyDescent="0.3">
      <c r="A32">
        <v>3</v>
      </c>
      <c r="B32">
        <v>2.5000000000000001E-2</v>
      </c>
      <c r="C32">
        <v>3.3</v>
      </c>
      <c r="D32">
        <f>+(B32+C32)/2</f>
        <v>1.6624999999999999</v>
      </c>
      <c r="E32">
        <f t="shared" si="3"/>
        <v>-21.020185715026756</v>
      </c>
      <c r="F32">
        <f t="shared" si="1"/>
        <v>1.9237963922663823</v>
      </c>
      <c r="G32">
        <f t="shared" ref="G32" si="5">+D32^3-EXP(0.8*D32)-20</f>
        <v>-19.186049246943782</v>
      </c>
    </row>
    <row r="33" spans="1:7" x14ac:dyDescent="0.3">
      <c r="A33">
        <v>4</v>
      </c>
      <c r="B33">
        <v>1.6625000000000001</v>
      </c>
      <c r="C33">
        <v>3.3</v>
      </c>
      <c r="D33">
        <f>+(B33+C33)/2</f>
        <v>2.4812500000000002</v>
      </c>
      <c r="E33">
        <f t="shared" si="3"/>
        <v>-19.186049246943782</v>
      </c>
      <c r="F33">
        <f t="shared" si="1"/>
        <v>1.9237963922663823</v>
      </c>
      <c r="G33">
        <f t="shared" ref="G33" si="6">+D33^3-EXP(0.8*D33)-20</f>
        <v>-12.002979758500288</v>
      </c>
    </row>
    <row r="34" spans="1:7" x14ac:dyDescent="0.3">
      <c r="A34">
        <v>5</v>
      </c>
      <c r="B34">
        <v>2.4812500000000002</v>
      </c>
      <c r="C34">
        <v>3.3</v>
      </c>
      <c r="D34">
        <f>+(B34+C34)/2</f>
        <v>2.890625</v>
      </c>
      <c r="E34">
        <f t="shared" si="3"/>
        <v>-12.002979758500288</v>
      </c>
      <c r="F34">
        <f t="shared" si="1"/>
        <v>1.9237963922663823</v>
      </c>
      <c r="G34">
        <f t="shared" ref="G34" si="7">+D34^3-EXP(0.8*D34)-20</f>
        <v>-5.9464096510171629</v>
      </c>
    </row>
    <row r="35" spans="1:7" x14ac:dyDescent="0.3">
      <c r="A35">
        <v>6</v>
      </c>
      <c r="B35">
        <f>D34</f>
        <v>2.890625</v>
      </c>
      <c r="C35">
        <f>3.3</f>
        <v>3.3</v>
      </c>
      <c r="D35">
        <f t="shared" ref="D35:D45" si="8">(B35+C35)/2</f>
        <v>3.0953124999999999</v>
      </c>
      <c r="E35">
        <f t="shared" si="3"/>
        <v>-5.9464096510171629</v>
      </c>
      <c r="F35">
        <f t="shared" si="1"/>
        <v>1.9237963922663823</v>
      </c>
      <c r="G35">
        <f t="shared" ref="G35" si="9">+D35^3-EXP(0.8*D35)-20</f>
        <v>-2.2405049157371124</v>
      </c>
    </row>
    <row r="36" spans="1:7" x14ac:dyDescent="0.3">
      <c r="A36">
        <v>7</v>
      </c>
      <c r="B36">
        <f>D35</f>
        <v>3.0953124999999999</v>
      </c>
      <c r="C36">
        <v>3.3</v>
      </c>
      <c r="D36">
        <f t="shared" si="8"/>
        <v>3.1976562499999996</v>
      </c>
      <c r="E36">
        <f t="shared" si="3"/>
        <v>-2.2405049157371124</v>
      </c>
      <c r="F36">
        <f t="shared" si="1"/>
        <v>1.9237963922663823</v>
      </c>
      <c r="G36">
        <f t="shared" ref="G36" si="10">+D36^3-EXP(0.8*D36)-20</f>
        <v>-0.21553266111236979</v>
      </c>
    </row>
    <row r="37" spans="1:7" x14ac:dyDescent="0.3">
      <c r="A37">
        <v>8</v>
      </c>
      <c r="B37">
        <f>D36</f>
        <v>3.1976562499999996</v>
      </c>
      <c r="C37">
        <v>3.3</v>
      </c>
      <c r="D37">
        <f t="shared" si="8"/>
        <v>3.2488281249999997</v>
      </c>
      <c r="E37">
        <f t="shared" si="3"/>
        <v>-0.21553266111236979</v>
      </c>
      <c r="F37">
        <f t="shared" si="1"/>
        <v>1.9237963922663823</v>
      </c>
      <c r="G37">
        <f t="shared" ref="G37" si="11">+D37^3-EXP(0.8*D37)-20</f>
        <v>0.83988290348846917</v>
      </c>
    </row>
    <row r="38" spans="1:7" x14ac:dyDescent="0.3">
      <c r="A38">
        <v>9</v>
      </c>
      <c r="B38">
        <f>B37</f>
        <v>3.1976562499999996</v>
      </c>
      <c r="C38">
        <f>D37</f>
        <v>3.2488281249999997</v>
      </c>
      <c r="D38">
        <f t="shared" si="8"/>
        <v>3.2232421874999995</v>
      </c>
      <c r="E38">
        <f t="shared" si="3"/>
        <v>-0.21553266111236979</v>
      </c>
      <c r="F38">
        <f t="shared" si="1"/>
        <v>0.83988290348846917</v>
      </c>
      <c r="G38">
        <f t="shared" ref="G38" si="12">+D38^3-EXP(0.8*D38)-20</f>
        <v>0.3086057415639587</v>
      </c>
    </row>
    <row r="39" spans="1:7" x14ac:dyDescent="0.3">
      <c r="A39">
        <v>10</v>
      </c>
      <c r="B39">
        <f>B38</f>
        <v>3.1976562499999996</v>
      </c>
      <c r="C39">
        <f>D38</f>
        <v>3.2232421874999995</v>
      </c>
      <c r="D39">
        <f t="shared" si="8"/>
        <v>3.2104492187499996</v>
      </c>
      <c r="E39">
        <f t="shared" si="3"/>
        <v>-0.21553266111236979</v>
      </c>
      <c r="F39">
        <f t="shared" si="1"/>
        <v>0.3086057415639587</v>
      </c>
      <c r="G39">
        <f t="shared" ref="G39" si="13">+D39^3-EXP(0.8*D39)-20</f>
        <v>4.5643430751646008E-2</v>
      </c>
    </row>
    <row r="40" spans="1:7" x14ac:dyDescent="0.3">
      <c r="A40">
        <v>11</v>
      </c>
      <c r="B40">
        <f>B39</f>
        <v>3.1976562499999996</v>
      </c>
      <c r="C40">
        <f>D39</f>
        <v>3.2104492187499996</v>
      </c>
      <c r="D40">
        <f t="shared" si="8"/>
        <v>3.2040527343749998</v>
      </c>
      <c r="E40">
        <f t="shared" si="3"/>
        <v>-0.21553266111236979</v>
      </c>
      <c r="F40">
        <f t="shared" si="1"/>
        <v>4.5643430751646008E-2</v>
      </c>
      <c r="G40">
        <f t="shared" ref="G40" si="14">+D40^3-EXP(0.8*D40)-20</f>
        <v>-8.5167980253302744E-2</v>
      </c>
    </row>
    <row r="41" spans="1:7" x14ac:dyDescent="0.3">
      <c r="A41">
        <v>12</v>
      </c>
      <c r="B41">
        <f>D40</f>
        <v>3.2040527343749998</v>
      </c>
      <c r="C41">
        <f>C40</f>
        <v>3.2104492187499996</v>
      </c>
      <c r="D41">
        <f t="shared" si="8"/>
        <v>3.2072509765624995</v>
      </c>
      <c r="E41">
        <f t="shared" si="3"/>
        <v>-8.5167980253302744E-2</v>
      </c>
      <c r="F41">
        <f t="shared" si="1"/>
        <v>4.5643430751646008E-2</v>
      </c>
      <c r="G41">
        <f t="shared" ref="G41" si="15">+D41^3-EXP(0.8*D41)-20</f>
        <v>-1.9818105404862507E-2</v>
      </c>
    </row>
    <row r="42" spans="1:7" x14ac:dyDescent="0.3">
      <c r="A42">
        <v>13</v>
      </c>
      <c r="B42">
        <f>D41</f>
        <v>3.2072509765624995</v>
      </c>
      <c r="C42">
        <f>C41</f>
        <v>3.2104492187499996</v>
      </c>
      <c r="D42">
        <f t="shared" si="8"/>
        <v>3.2088500976562493</v>
      </c>
      <c r="E42">
        <f t="shared" si="3"/>
        <v>-1.9818105404862507E-2</v>
      </c>
      <c r="F42">
        <f t="shared" si="1"/>
        <v>4.5643430751646008E-2</v>
      </c>
      <c r="G42">
        <f t="shared" ref="G42" si="16">+D42^3-EXP(0.8*D42)-20</f>
        <v>1.2898706367099777E-2</v>
      </c>
    </row>
    <row r="43" spans="1:7" x14ac:dyDescent="0.3">
      <c r="A43">
        <v>14</v>
      </c>
      <c r="B43">
        <f>B42</f>
        <v>3.2072509765624995</v>
      </c>
      <c r="C43">
        <f>D42</f>
        <v>3.2088500976562493</v>
      </c>
      <c r="D43">
        <f t="shared" si="8"/>
        <v>3.2080505371093744</v>
      </c>
      <c r="E43">
        <f t="shared" si="3"/>
        <v>-1.9818105404862507E-2</v>
      </c>
      <c r="F43">
        <f t="shared" si="1"/>
        <v>1.2898706367099777E-2</v>
      </c>
      <c r="G43">
        <f t="shared" ref="G43" si="17">+D43^3-EXP(0.8*D43)-20</f>
        <v>-3.4631887664744454E-3</v>
      </c>
    </row>
    <row r="44" spans="1:7" x14ac:dyDescent="0.3">
      <c r="A44">
        <v>15</v>
      </c>
      <c r="B44">
        <f>D43</f>
        <v>3.2080505371093744</v>
      </c>
      <c r="C44">
        <f>C43</f>
        <v>3.2088500976562493</v>
      </c>
      <c r="D44" s="1">
        <f t="shared" si="8"/>
        <v>3.2084503173828116</v>
      </c>
      <c r="E44">
        <f t="shared" si="3"/>
        <v>-3.4631887664744454E-3</v>
      </c>
      <c r="F44">
        <f t="shared" si="1"/>
        <v>1.2898706367099777E-2</v>
      </c>
      <c r="G44">
        <f t="shared" ref="G44" si="18">+D44^3-EXP(0.8*D44)-20</f>
        <v>4.7168865097120261E-3</v>
      </c>
    </row>
    <row r="45" spans="1:7" x14ac:dyDescent="0.3">
      <c r="A45">
        <v>16</v>
      </c>
      <c r="B45">
        <f>B44</f>
        <v>3.2080505371093744</v>
      </c>
      <c r="C45">
        <f>D44</f>
        <v>3.2084503173828116</v>
      </c>
      <c r="D45">
        <f t="shared" si="8"/>
        <v>3.2082504272460932</v>
      </c>
      <c r="E45">
        <f t="shared" si="3"/>
        <v>-3.4631887664744454E-3</v>
      </c>
      <c r="F45">
        <f t="shared" si="1"/>
        <v>4.7168865097120261E-3</v>
      </c>
      <c r="G45">
        <f t="shared" ref="G45" si="19">+D45^3-EXP(0.8*D45)-20</f>
        <v>6.2663079630809193E-4</v>
      </c>
    </row>
    <row r="47" spans="1:7" x14ac:dyDescent="0.3">
      <c r="B47" s="3" t="s">
        <v>8</v>
      </c>
      <c r="C47" s="3" t="s">
        <v>9</v>
      </c>
      <c r="D47" s="3" t="s">
        <v>14</v>
      </c>
      <c r="E47" s="3" t="s">
        <v>10</v>
      </c>
      <c r="F47" s="3" t="s">
        <v>11</v>
      </c>
      <c r="G47" s="3" t="s">
        <v>12</v>
      </c>
    </row>
    <row r="48" spans="1:7" x14ac:dyDescent="0.3">
      <c r="B48">
        <v>7.4</v>
      </c>
      <c r="C48">
        <v>7.5</v>
      </c>
      <c r="D48">
        <f t="shared" ref="D48:D54" si="20">(B48+C48)/2</f>
        <v>7.45</v>
      </c>
      <c r="E48">
        <f>B48^3-EXP(0.8*B48)-20</f>
        <v>12.812286123817501</v>
      </c>
      <c r="F48">
        <f t="shared" ref="E48:F54" si="21">C48^3-EXP(0.8*C48)-20</f>
        <v>-1.5537934927351102</v>
      </c>
      <c r="G48">
        <f t="shared" ref="G48" si="22">D48^3-EXP(0.8*D48)-20</f>
        <v>5.8835007622163289</v>
      </c>
    </row>
    <row r="49" spans="1:7" x14ac:dyDescent="0.3">
      <c r="B49">
        <f>D48</f>
        <v>7.45</v>
      </c>
      <c r="C49">
        <f>C48</f>
        <v>7.5</v>
      </c>
      <c r="D49">
        <f t="shared" si="20"/>
        <v>7.4749999999999996</v>
      </c>
      <c r="E49">
        <f t="shared" si="21"/>
        <v>5.8835007622163289</v>
      </c>
      <c r="F49">
        <f t="shared" si="21"/>
        <v>-1.5537934927351102</v>
      </c>
      <c r="G49">
        <f t="shared" ref="G49" si="23">D49^3-EXP(0.8*D49)-20</f>
        <v>2.2299287196757973</v>
      </c>
    </row>
    <row r="50" spans="1:7" x14ac:dyDescent="0.3">
      <c r="B50">
        <f>D49</f>
        <v>7.4749999999999996</v>
      </c>
      <c r="C50">
        <f>C49</f>
        <v>7.5</v>
      </c>
      <c r="D50">
        <f t="shared" si="20"/>
        <v>7.4874999999999998</v>
      </c>
      <c r="E50">
        <f t="shared" si="21"/>
        <v>2.2299287196757973</v>
      </c>
      <c r="F50">
        <f t="shared" si="21"/>
        <v>-1.5537934927351102</v>
      </c>
      <c r="G50">
        <f t="shared" ref="G50" si="24">D50^3-EXP(0.8*D50)-20</f>
        <v>0.35452874476499119</v>
      </c>
    </row>
    <row r="51" spans="1:7" x14ac:dyDescent="0.3">
      <c r="B51">
        <f>D50</f>
        <v>7.4874999999999998</v>
      </c>
      <c r="C51">
        <f>C50</f>
        <v>7.5</v>
      </c>
      <c r="D51">
        <f t="shared" si="20"/>
        <v>7.4937500000000004</v>
      </c>
      <c r="E51">
        <f t="shared" si="21"/>
        <v>0.35452874476499119</v>
      </c>
      <c r="F51">
        <f t="shared" si="21"/>
        <v>-1.5537934927351102</v>
      </c>
      <c r="G51">
        <f t="shared" ref="G51" si="25">D51^3-EXP(0.8*D51)-20</f>
        <v>-0.59549282880993815</v>
      </c>
    </row>
    <row r="52" spans="1:7" x14ac:dyDescent="0.3">
      <c r="B52">
        <f>B51</f>
        <v>7.4874999999999998</v>
      </c>
      <c r="C52">
        <f>D51</f>
        <v>7.4937500000000004</v>
      </c>
      <c r="D52">
        <f t="shared" si="20"/>
        <v>7.4906249999999996</v>
      </c>
      <c r="E52">
        <f t="shared" si="21"/>
        <v>0.35452874476499119</v>
      </c>
      <c r="F52">
        <f t="shared" si="21"/>
        <v>-0.59549282880993815</v>
      </c>
      <c r="G52">
        <f t="shared" ref="G52" si="26">D52^3-EXP(0.8*D52)-20</f>
        <v>-0.11945019828834802</v>
      </c>
    </row>
    <row r="53" spans="1:7" x14ac:dyDescent="0.3">
      <c r="B53">
        <f>B52</f>
        <v>7.4874999999999998</v>
      </c>
      <c r="C53">
        <f>D52</f>
        <v>7.4906249999999996</v>
      </c>
      <c r="D53" s="1">
        <f t="shared" si="20"/>
        <v>7.4890624999999993</v>
      </c>
      <c r="E53">
        <f t="shared" si="21"/>
        <v>0.35452874476499119</v>
      </c>
      <c r="F53">
        <f t="shared" si="21"/>
        <v>-0.11945019828834802</v>
      </c>
      <c r="G53">
        <f t="shared" ref="G53" si="27">D53^3-EXP(0.8*D53)-20</f>
        <v>0.11779685470821732</v>
      </c>
    </row>
    <row r="54" spans="1:7" x14ac:dyDescent="0.3">
      <c r="B54">
        <f>D53</f>
        <v>7.4890624999999993</v>
      </c>
      <c r="C54">
        <f>C53</f>
        <v>7.4906249999999996</v>
      </c>
      <c r="D54">
        <f t="shared" si="20"/>
        <v>7.4898437499999995</v>
      </c>
      <c r="E54">
        <f t="shared" si="21"/>
        <v>0.11779685470821732</v>
      </c>
      <c r="F54">
        <f t="shared" si="21"/>
        <v>-0.11945019828834802</v>
      </c>
      <c r="G54">
        <f t="shared" ref="G54" si="28">D54^3-EXP(0.8*D54)-20</f>
        <v>-7.6222902799827352E-4</v>
      </c>
    </row>
    <row r="56" spans="1:7" x14ac:dyDescent="0.3">
      <c r="A56" t="s">
        <v>26</v>
      </c>
    </row>
    <row r="57" spans="1:7" x14ac:dyDescent="0.3">
      <c r="B57" s="5" t="s">
        <v>5</v>
      </c>
      <c r="C57" s="5" t="s">
        <v>6</v>
      </c>
      <c r="D57" s="5" t="s">
        <v>27</v>
      </c>
    </row>
    <row r="58" spans="1:7" x14ac:dyDescent="0.3">
      <c r="B58">
        <v>3.3</v>
      </c>
      <c r="C58">
        <f>B58^3-EXP(0.8*B58)-20</f>
        <v>1.9237963922663823</v>
      </c>
      <c r="D58">
        <f>3*B58^2-0.8*EXP(0.8*B58)</f>
        <v>21.459437113813102</v>
      </c>
    </row>
    <row r="59" spans="1:7" x14ac:dyDescent="0.3">
      <c r="B59">
        <f>+B58-(C58/D58)</f>
        <v>3.2103519639372058</v>
      </c>
      <c r="C59">
        <f>B59^3-EXP(0.8*B59)-20</f>
        <v>4.3651175918448359E-2</v>
      </c>
      <c r="D59">
        <f>3*B59^2-0.8*EXP(0.8*B59)</f>
        <v>20.484366371552596</v>
      </c>
    </row>
    <row r="60" spans="1:7" x14ac:dyDescent="0.3">
      <c r="B60">
        <f t="shared" ref="B60:B68" si="29">+B59-(C59/D59)</f>
        <v>3.2082210131854625</v>
      </c>
      <c r="C60">
        <f t="shared" ref="C60:C68" si="30">B60^3-EXP(0.8*B60)-20</f>
        <v>2.4781834817133586E-5</v>
      </c>
      <c r="D60">
        <f t="shared" ref="D60:D68" si="31">3*B60^2-0.8*EXP(0.8*B60)</f>
        <v>20.461106916018203</v>
      </c>
      <c r="F60" t="s">
        <v>28</v>
      </c>
    </row>
    <row r="61" spans="1:7" x14ac:dyDescent="0.3">
      <c r="B61">
        <f t="shared" si="29"/>
        <v>3.2082198020176151</v>
      </c>
      <c r="C61">
        <f t="shared" si="30"/>
        <v>8.0078166320163291E-12</v>
      </c>
      <c r="D61">
        <f t="shared" si="31"/>
        <v>20.461093695182434</v>
      </c>
    </row>
    <row r="62" spans="1:7" x14ac:dyDescent="0.3">
      <c r="B62" s="7">
        <f t="shared" si="29"/>
        <v>3.2082198020172239</v>
      </c>
      <c r="C62">
        <f t="shared" si="30"/>
        <v>0</v>
      </c>
      <c r="D62">
        <f t="shared" si="31"/>
        <v>20.46109369517816</v>
      </c>
    </row>
    <row r="64" spans="1:7" x14ac:dyDescent="0.3">
      <c r="B64" s="5" t="s">
        <v>5</v>
      </c>
      <c r="C64" s="5" t="s">
        <v>6</v>
      </c>
      <c r="D64" s="5" t="s">
        <v>27</v>
      </c>
    </row>
    <row r="65" spans="1:6" x14ac:dyDescent="0.3">
      <c r="B65">
        <v>7.4</v>
      </c>
      <c r="C65">
        <f>B65^3-EXP(0.8*B65)-20</f>
        <v>12.812286123817501</v>
      </c>
      <c r="D65">
        <f>3*B65^2-0.8*EXP(0.8*B65)</f>
        <v>-133.64937110094604</v>
      </c>
    </row>
    <row r="66" spans="1:6" x14ac:dyDescent="0.3">
      <c r="B66">
        <f>B65-(C65/D65)</f>
        <v>7.4958649189163813</v>
      </c>
      <c r="C66">
        <f>B66^3-EXP(0.8*B66)-20</f>
        <v>-0.9188401407985225</v>
      </c>
      <c r="D66">
        <f>3*B66^2-0.8*EXP(0.8*B66)</f>
        <v>-153.11317124198243</v>
      </c>
    </row>
    <row r="67" spans="1:6" x14ac:dyDescent="0.3">
      <c r="B67" s="7">
        <f>B66-(C66/D66)</f>
        <v>7.489863866666302</v>
      </c>
      <c r="C67">
        <f>B67^3-EXP(0.8*B67)-20</f>
        <v>-3.8167480180959501E-3</v>
      </c>
      <c r="D67">
        <f t="shared" ref="D67:D71" si="32">3*B67^2-0.8*EXP(0.8*B67)</f>
        <v>-151.84234168324727</v>
      </c>
    </row>
    <row r="68" spans="1:6" x14ac:dyDescent="0.3">
      <c r="B68">
        <f t="shared" ref="B67:B71" si="33">B67-(C67/D67)</f>
        <v>7.4898387304099998</v>
      </c>
      <c r="C68">
        <f t="shared" ref="C67:C71" si="34">B68^3-EXP(0.8*B68)-20</f>
        <v>-6.6711493218463147E-8</v>
      </c>
      <c r="D68">
        <f t="shared" si="32"/>
        <v>-151.83703372193213</v>
      </c>
    </row>
    <row r="69" spans="1:6" x14ac:dyDescent="0.3">
      <c r="B69">
        <f t="shared" si="33"/>
        <v>7.4898387299706375</v>
      </c>
      <c r="C69">
        <f t="shared" si="34"/>
        <v>-1.1368683772161603E-13</v>
      </c>
      <c r="D69">
        <f t="shared" si="32"/>
        <v>-151.83703362915429</v>
      </c>
    </row>
    <row r="70" spans="1:6" x14ac:dyDescent="0.3">
      <c r="B70">
        <f t="shared" si="33"/>
        <v>7.4898387299706366</v>
      </c>
      <c r="C70">
        <f t="shared" si="34"/>
        <v>5.6843418860808015E-14</v>
      </c>
      <c r="D70">
        <f>3*B70^2-0.8*EXP(0.8*B70)</f>
        <v>-151.83703362915406</v>
      </c>
    </row>
    <row r="71" spans="1:6" x14ac:dyDescent="0.3">
      <c r="A71" t="s">
        <v>31</v>
      </c>
    </row>
    <row r="73" spans="1:6" x14ac:dyDescent="0.3">
      <c r="B73" s="13" t="s">
        <v>8</v>
      </c>
      <c r="C73" s="13" t="s">
        <v>9</v>
      </c>
      <c r="D73" s="13" t="s">
        <v>10</v>
      </c>
      <c r="E73" s="13" t="s">
        <v>11</v>
      </c>
      <c r="F73" s="13" t="s">
        <v>14</v>
      </c>
    </row>
    <row r="74" spans="1:6" x14ac:dyDescent="0.3">
      <c r="B74">
        <v>3.2</v>
      </c>
      <c r="C74">
        <v>3.3</v>
      </c>
      <c r="D74">
        <f>+B74^3-EXP(0.8*B74)-20</f>
        <v>-0.16781731554307555</v>
      </c>
      <c r="E74">
        <f>+C74^3-EXP(0.8*C74)-20</f>
        <v>1.9237963922663823</v>
      </c>
      <c r="F74">
        <f>C74-E74*((C74-B74)/(E74-D74))</f>
        <v>3.2080233417344943</v>
      </c>
    </row>
    <row r="75" spans="1:6" x14ac:dyDescent="0.3">
      <c r="B75">
        <f>C74</f>
        <v>3.3</v>
      </c>
      <c r="C75">
        <f>F74</f>
        <v>3.2080233417344943</v>
      </c>
      <c r="D75">
        <f>+B75^3-EXP(0.8*B75)-20</f>
        <v>1.9237963922663823</v>
      </c>
      <c r="E75">
        <f>+C75^3-EXP(0.8*C75)-20</f>
        <v>-4.019581595326116E-3</v>
      </c>
      <c r="F75">
        <f>C75-E75*((C75-B75)/(E75-D75))</f>
        <v>3.2082151171361799</v>
      </c>
    </row>
    <row r="76" spans="1:6" x14ac:dyDescent="0.3">
      <c r="B76">
        <f t="shared" ref="B76:B78" si="35">C75</f>
        <v>3.2080233417344943</v>
      </c>
      <c r="C76">
        <f t="shared" ref="C76:C78" si="36">F75</f>
        <v>3.2082151171361799</v>
      </c>
      <c r="D76">
        <f t="shared" ref="D76:D78" si="37">+B76^3-EXP(0.8*B76)-20</f>
        <v>-4.019581595326116E-3</v>
      </c>
      <c r="E76">
        <f t="shared" ref="E76:E78" si="38">+C76^3-EXP(0.8*C76)-20</f>
        <v>-9.5857670196153322E-5</v>
      </c>
      <c r="F76">
        <f t="shared" ref="F76:F78" si="39">C76-E76*((C76-B76)/(E76-D76))</f>
        <v>3.2082198022627479</v>
      </c>
    </row>
    <row r="77" spans="1:6" x14ac:dyDescent="0.3">
      <c r="B77">
        <f t="shared" si="35"/>
        <v>3.2082151171361799</v>
      </c>
      <c r="C77">
        <f t="shared" si="36"/>
        <v>3.2082198022627479</v>
      </c>
      <c r="D77">
        <f t="shared" si="37"/>
        <v>-9.5857670196153322E-5</v>
      </c>
      <c r="E77">
        <f t="shared" si="38"/>
        <v>5.0236863557984179E-9</v>
      </c>
      <c r="F77">
        <f t="shared" si="39"/>
        <v>3.2082198020172239</v>
      </c>
    </row>
    <row r="78" spans="1:6" x14ac:dyDescent="0.3">
      <c r="B78">
        <f t="shared" si="35"/>
        <v>3.2082198022627479</v>
      </c>
      <c r="C78">
        <f t="shared" si="36"/>
        <v>3.2082198020172239</v>
      </c>
      <c r="D78">
        <f t="shared" si="37"/>
        <v>5.0236863557984179E-9</v>
      </c>
      <c r="E78">
        <f t="shared" si="38"/>
        <v>0</v>
      </c>
      <c r="F78" s="12">
        <f t="shared" si="39"/>
        <v>3.2082198020172239</v>
      </c>
    </row>
    <row r="80" spans="1:6" x14ac:dyDescent="0.3">
      <c r="B80" s="13" t="s">
        <v>8</v>
      </c>
      <c r="C80" s="13" t="s">
        <v>9</v>
      </c>
      <c r="D80" s="13" t="s">
        <v>10</v>
      </c>
      <c r="E80" s="13" t="s">
        <v>11</v>
      </c>
      <c r="F80" s="13" t="s">
        <v>14</v>
      </c>
    </row>
    <row r="81" spans="2:6" x14ac:dyDescent="0.3">
      <c r="B81">
        <v>7.4</v>
      </c>
      <c r="C81">
        <v>7.5</v>
      </c>
      <c r="D81">
        <f>B81^3-EXP(0.8*B81)-20</f>
        <v>12.812286123817501</v>
      </c>
      <c r="E81">
        <f>C81^3-EXP(0.8*C81)-20</f>
        <v>-1.5537934927351102</v>
      </c>
      <c r="F81">
        <f>C81-E81*((C81-B81)/(E81-D81))</f>
        <v>7.4891842901180583</v>
      </c>
    </row>
    <row r="82" spans="2:6" x14ac:dyDescent="0.3">
      <c r="B82">
        <f>C81</f>
        <v>7.5</v>
      </c>
      <c r="C82">
        <f>F81</f>
        <v>7.4891842901180583</v>
      </c>
      <c r="D82">
        <f>B82^3-EXP(0.8*B82)-20</f>
        <v>-1.5537934927351102</v>
      </c>
      <c r="E82">
        <f>C82^3-EXP(0.8*C82)-20</f>
        <v>9.9322995096713385E-2</v>
      </c>
      <c r="F82">
        <f>C82-E82*((C82-B82)/(E82-D82))</f>
        <v>7.4898341225451608</v>
      </c>
    </row>
    <row r="83" spans="2:6" x14ac:dyDescent="0.3">
      <c r="B83">
        <f t="shared" ref="B83:B86" si="40">C82</f>
        <v>7.4891842901180583</v>
      </c>
      <c r="C83">
        <f t="shared" ref="C83:C86" si="41">F82</f>
        <v>7.4898341225451608</v>
      </c>
      <c r="D83">
        <f t="shared" ref="D83:D86" si="42">B83^3-EXP(0.8*B83)-20</f>
        <v>9.9322995096713385E-2</v>
      </c>
      <c r="E83">
        <f t="shared" ref="E83:E86" si="43">C83^3-EXP(0.8*C83)-20</f>
        <v>6.9957557559519046E-4</v>
      </c>
      <c r="F83" s="12">
        <f t="shared" ref="F83:F86" si="44">C83-E83*((C83-B83)/(E83-D83))</f>
        <v>7.4898387320678932</v>
      </c>
    </row>
    <row r="84" spans="2:6" x14ac:dyDescent="0.3">
      <c r="B84">
        <f t="shared" si="40"/>
        <v>7.4898341225451608</v>
      </c>
      <c r="C84">
        <f t="shared" si="41"/>
        <v>7.4898387320678932</v>
      </c>
      <c r="D84">
        <f t="shared" si="42"/>
        <v>6.9957557559519046E-4</v>
      </c>
      <c r="E84">
        <f t="shared" si="43"/>
        <v>-3.1844115255807992E-7</v>
      </c>
      <c r="F84">
        <f t="shared" si="44"/>
        <v>7.4898387299706304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4ACC-E424-4478-A0CE-54A6EDB5AB7A}">
  <dimension ref="B2:G44"/>
  <sheetViews>
    <sheetView zoomScale="87" workbookViewId="0">
      <selection activeCell="C2" sqref="C2"/>
    </sheetView>
  </sheetViews>
  <sheetFormatPr baseColWidth="10" defaultRowHeight="14.4" x14ac:dyDescent="0.3"/>
  <sheetData>
    <row r="2" spans="2:7" x14ac:dyDescent="0.3">
      <c r="B2" t="s">
        <v>1</v>
      </c>
      <c r="C2" t="s">
        <v>2</v>
      </c>
    </row>
    <row r="4" spans="2:7" x14ac:dyDescent="0.3">
      <c r="B4" s="14" t="s">
        <v>5</v>
      </c>
      <c r="C4" s="14" t="s">
        <v>6</v>
      </c>
    </row>
    <row r="5" spans="2:7" x14ac:dyDescent="0.3">
      <c r="B5" s="8">
        <v>38</v>
      </c>
      <c r="C5" s="8">
        <f>3*SIN(0.5*B5)-0.5*B5+20</f>
        <v>1.4496316289888576</v>
      </c>
    </row>
    <row r="6" spans="2:7" x14ac:dyDescent="0.3">
      <c r="B6" s="8">
        <v>35</v>
      </c>
      <c r="C6" s="8">
        <f>3*SIN(0.5*B6)-0.5*B6+20</f>
        <v>-0.42687801640447276</v>
      </c>
    </row>
    <row r="9" spans="2:7" x14ac:dyDescent="0.3">
      <c r="B9" t="s">
        <v>20</v>
      </c>
      <c r="C9">
        <v>0.01</v>
      </c>
    </row>
    <row r="15" spans="2:7" x14ac:dyDescent="0.3">
      <c r="B15" t="s">
        <v>19</v>
      </c>
    </row>
    <row r="16" spans="2:7" x14ac:dyDescent="0.3">
      <c r="B16" s="3" t="s">
        <v>8</v>
      </c>
      <c r="C16" s="3" t="s">
        <v>9</v>
      </c>
      <c r="D16" s="3" t="s">
        <v>14</v>
      </c>
      <c r="E16" s="3" t="s">
        <v>10</v>
      </c>
      <c r="F16" s="3" t="s">
        <v>11</v>
      </c>
      <c r="G16" s="3" t="s">
        <v>12</v>
      </c>
    </row>
    <row r="17" spans="2:7" x14ac:dyDescent="0.3">
      <c r="B17">
        <v>35</v>
      </c>
      <c r="C17">
        <v>38</v>
      </c>
      <c r="D17">
        <f t="shared" ref="D17:D24" si="0">(B17+C17)/2</f>
        <v>36.5</v>
      </c>
      <c r="E17">
        <f>3*SIN(0.5*B17)-0.5*B17+20</f>
        <v>-0.42687801640447276</v>
      </c>
      <c r="F17">
        <f>3*SIN(0.5*C17)-0.5*C17+20</f>
        <v>1.4496316289888576</v>
      </c>
      <c r="G17">
        <f t="shared" ref="F17:G17" si="1">3*SIN(0.5*D17)-0.5*D17+20</f>
        <v>5.7172288114433201E-2</v>
      </c>
    </row>
    <row r="18" spans="2:7" x14ac:dyDescent="0.3">
      <c r="B18">
        <v>35</v>
      </c>
      <c r="C18">
        <f>D17</f>
        <v>36.5</v>
      </c>
      <c r="D18">
        <f t="shared" si="0"/>
        <v>35.75</v>
      </c>
      <c r="E18">
        <f t="shared" ref="E17:E24" si="2">3*SIN(0.5*B18)-0.5*B18+20</f>
        <v>-0.42687801640447276</v>
      </c>
      <c r="F18">
        <f t="shared" ref="F18" si="3">3*SIN(0.5*C18)-0.5*C18+20</f>
        <v>5.7172288114433201E-2</v>
      </c>
      <c r="G18">
        <f t="shared" ref="G18" si="4">3*SIN(0.5*D18)-0.5*D18+20</f>
        <v>-0.35735781174792436</v>
      </c>
    </row>
    <row r="19" spans="2:7" x14ac:dyDescent="0.3">
      <c r="B19">
        <f>D18</f>
        <v>35.75</v>
      </c>
      <c r="C19">
        <f>C18</f>
        <v>36.5</v>
      </c>
      <c r="D19">
        <f t="shared" si="0"/>
        <v>36.125</v>
      </c>
      <c r="E19">
        <f t="shared" si="2"/>
        <v>-0.35735781174792436</v>
      </c>
      <c r="F19">
        <f t="shared" ref="F19" si="5">3*SIN(0.5*C19)-0.5*C19+20</f>
        <v>5.7172288114433201E-2</v>
      </c>
      <c r="G19">
        <f t="shared" ref="G19" si="6">3*SIN(0.5*D19)-0.5*D19+20</f>
        <v>-0.18733406315342194</v>
      </c>
    </row>
    <row r="20" spans="2:7" x14ac:dyDescent="0.3">
      <c r="B20">
        <f>D19</f>
        <v>36.125</v>
      </c>
      <c r="C20">
        <f>C19</f>
        <v>36.5</v>
      </c>
      <c r="D20">
        <f t="shared" si="0"/>
        <v>36.3125</v>
      </c>
      <c r="E20">
        <f t="shared" si="2"/>
        <v>-0.18733406315342194</v>
      </c>
      <c r="F20">
        <f t="shared" ref="F20" si="7">3*SIN(0.5*C20)-0.5*C20+20</f>
        <v>5.7172288114433201E-2</v>
      </c>
      <c r="G20">
        <f t="shared" ref="G20" si="8">3*SIN(0.5*D20)-0.5*D20+20</f>
        <v>-7.3500133996311945E-2</v>
      </c>
    </row>
    <row r="21" spans="2:7" x14ac:dyDescent="0.3">
      <c r="B21">
        <f>D20</f>
        <v>36.3125</v>
      </c>
      <c r="C21">
        <f>C20</f>
        <v>36.5</v>
      </c>
      <c r="D21">
        <f t="shared" si="0"/>
        <v>36.40625</v>
      </c>
      <c r="E21">
        <f t="shared" si="2"/>
        <v>-7.3500133996311945E-2</v>
      </c>
      <c r="F21">
        <f t="shared" ref="F21" si="9">3*SIN(0.5*C21)-0.5*C21+20</f>
        <v>5.7172288114433201E-2</v>
      </c>
      <c r="G21">
        <f t="shared" ref="G21" si="10">3*SIN(0.5*D21)-0.5*D21+20</f>
        <v>-1.0148815112646759E-2</v>
      </c>
    </row>
    <row r="22" spans="2:7" x14ac:dyDescent="0.3">
      <c r="B22">
        <f>D21</f>
        <v>36.40625</v>
      </c>
      <c r="C22">
        <f>C21</f>
        <v>36.5</v>
      </c>
      <c r="D22" s="4">
        <f t="shared" si="0"/>
        <v>36.453125</v>
      </c>
      <c r="E22">
        <f t="shared" si="2"/>
        <v>-1.0148815112646759E-2</v>
      </c>
      <c r="F22">
        <f t="shared" ref="F22:F24" si="11">3*SIN(0.5*C22)-0.5*C22+20</f>
        <v>5.7172288114433201E-2</v>
      </c>
      <c r="G22">
        <f t="shared" ref="G22:G24" si="12">3*SIN(0.5*D22)-0.5*D22+20</f>
        <v>2.3030995002699228E-2</v>
      </c>
    </row>
    <row r="23" spans="2:7" x14ac:dyDescent="0.3">
      <c r="B23">
        <f>B22</f>
        <v>36.40625</v>
      </c>
      <c r="C23">
        <f>D22</f>
        <v>36.453125</v>
      </c>
      <c r="D23" s="4">
        <f t="shared" si="0"/>
        <v>36.4296875</v>
      </c>
      <c r="E23">
        <f t="shared" si="2"/>
        <v>-1.0148815112646759E-2</v>
      </c>
      <c r="F23">
        <f t="shared" si="11"/>
        <v>2.3030995002699228E-2</v>
      </c>
      <c r="G23">
        <f t="shared" si="12"/>
        <v>6.3189482786008E-3</v>
      </c>
    </row>
    <row r="24" spans="2:7" x14ac:dyDescent="0.3">
      <c r="B24">
        <f>B23</f>
        <v>36.40625</v>
      </c>
      <c r="C24">
        <f>D23</f>
        <v>36.4296875</v>
      </c>
      <c r="D24">
        <f t="shared" si="0"/>
        <v>36.41796875</v>
      </c>
      <c r="E24">
        <f t="shared" si="2"/>
        <v>-1.0148815112646759E-2</v>
      </c>
      <c r="F24">
        <f t="shared" si="11"/>
        <v>6.3189482786008E-3</v>
      </c>
      <c r="G24">
        <f t="shared" si="12"/>
        <v>-1.9457115501495537E-3</v>
      </c>
    </row>
    <row r="26" spans="2:7" x14ac:dyDescent="0.3">
      <c r="B26" t="s">
        <v>29</v>
      </c>
    </row>
    <row r="27" spans="2:7" x14ac:dyDescent="0.3">
      <c r="B27" s="6" t="s">
        <v>5</v>
      </c>
      <c r="C27" s="6" t="s">
        <v>6</v>
      </c>
      <c r="D27" s="6" t="s">
        <v>27</v>
      </c>
    </row>
    <row r="28" spans="2:7" x14ac:dyDescent="0.3">
      <c r="B28">
        <v>38</v>
      </c>
      <c r="C28">
        <f>3*SIN(0.5*B28)-0.5*B28+20</f>
        <v>1.4496316289888576</v>
      </c>
      <c r="D28">
        <f>1.5*COS(0.5*B28)-0.5</f>
        <v>0.98305692728000382</v>
      </c>
    </row>
    <row r="29" spans="2:7" x14ac:dyDescent="0.3">
      <c r="B29">
        <f>B28-(C28/D28)</f>
        <v>36.525383842215724</v>
      </c>
      <c r="C29">
        <f>3*SIN(0.5*B29)-0.5*B29+20</f>
        <v>7.6050693461510832E-2</v>
      </c>
      <c r="D29">
        <f>1.5*COS(0.5*B29)-0.5</f>
        <v>0.7490220073473679</v>
      </c>
    </row>
    <row r="30" spans="2:7" x14ac:dyDescent="0.3">
      <c r="B30">
        <f t="shared" ref="B30:B33" si="13">B29-(C29/D29)</f>
        <v>36.423850519141759</v>
      </c>
      <c r="C30">
        <f t="shared" ref="C30:C33" si="14">3*SIN(0.5*B30)-0.5*B30+20</f>
        <v>2.1947477292165729E-3</v>
      </c>
      <c r="D30">
        <f t="shared" ref="D30:D33" si="15">1.5*COS(0.5*B30)-0.5</f>
        <v>0.70526269456851098</v>
      </c>
    </row>
    <row r="31" spans="2:7" x14ac:dyDescent="0.3">
      <c r="B31">
        <f t="shared" si="13"/>
        <v>36.420738561361887</v>
      </c>
      <c r="C31">
        <f t="shared" si="14"/>
        <v>2.1633835345369334E-6</v>
      </c>
      <c r="D31">
        <f t="shared" si="15"/>
        <v>0.70387184033228234</v>
      </c>
    </row>
    <row r="32" spans="2:7" x14ac:dyDescent="0.3">
      <c r="B32">
        <f t="shared" si="13"/>
        <v>36.42073548781439</v>
      </c>
      <c r="C32">
        <f t="shared" si="14"/>
        <v>2.1174173525650986E-12</v>
      </c>
      <c r="D32">
        <f t="shared" si="15"/>
        <v>0.70387046520376884</v>
      </c>
    </row>
    <row r="33" spans="2:6" x14ac:dyDescent="0.3">
      <c r="B33" s="7">
        <f t="shared" si="13"/>
        <v>36.420735487811385</v>
      </c>
      <c r="C33">
        <f t="shared" si="14"/>
        <v>0</v>
      </c>
      <c r="D33">
        <f t="shared" si="15"/>
        <v>0.70387046520242391</v>
      </c>
    </row>
    <row r="36" spans="2:6" x14ac:dyDescent="0.3">
      <c r="B36" s="13" t="s">
        <v>8</v>
      </c>
      <c r="C36" s="13" t="s">
        <v>9</v>
      </c>
      <c r="D36" s="13" t="s">
        <v>10</v>
      </c>
      <c r="E36" s="13" t="s">
        <v>11</v>
      </c>
      <c r="F36" s="13" t="s">
        <v>14</v>
      </c>
    </row>
    <row r="37" spans="2:6" x14ac:dyDescent="0.3">
      <c r="B37">
        <v>35</v>
      </c>
      <c r="C37">
        <v>38</v>
      </c>
      <c r="D37">
        <f>3*SIN(0.5*B37)-0.5*B37+20</f>
        <v>-0.42687801640447276</v>
      </c>
      <c r="E37">
        <f>3*SIN(0.5*C37)-0.5*C37+20</f>
        <v>1.4496316289888576</v>
      </c>
      <c r="F37">
        <f>C37-E37*((C37-B37)/(E37-D37))</f>
        <v>35.682455351272651</v>
      </c>
    </row>
    <row r="38" spans="2:6" x14ac:dyDescent="0.3">
      <c r="B38">
        <f>C37</f>
        <v>38</v>
      </c>
      <c r="C38">
        <f>F37</f>
        <v>35.682455351272651</v>
      </c>
      <c r="D38">
        <f>3*SIN(0.5*B38)-0.5*B38+20</f>
        <v>1.4496316289888576</v>
      </c>
      <c r="E38">
        <f>3*SIN(0.5*C38)-0.5*C38+20</f>
        <v>-0.37905223967290169</v>
      </c>
      <c r="F38">
        <f>C38-E38*((C38-B38)/(E38-D38))</f>
        <v>36.162839361158909</v>
      </c>
    </row>
    <row r="39" spans="2:6" x14ac:dyDescent="0.3">
      <c r="B39">
        <f t="shared" ref="B39:B44" si="16">C38</f>
        <v>35.682455351272651</v>
      </c>
      <c r="C39">
        <f t="shared" ref="C39:C44" si="17">F38</f>
        <v>36.162839361158909</v>
      </c>
      <c r="D39">
        <f t="shared" ref="D39:D44" si="18">3*SIN(0.5*B39)-0.5*B39+20</f>
        <v>-0.37905223967290169</v>
      </c>
      <c r="E39">
        <f t="shared" ref="E39:E44" si="19">3*SIN(0.5*C39)-0.5*C39+20</f>
        <v>-0.16580773414302641</v>
      </c>
      <c r="F39">
        <f t="shared" ref="F39:F44" si="20">C39-E39*((C39-B39)/(E39-D39))</f>
        <v>36.536360751545317</v>
      </c>
    </row>
    <row r="40" spans="2:6" x14ac:dyDescent="0.3">
      <c r="B40">
        <f t="shared" si="16"/>
        <v>36.162839361158909</v>
      </c>
      <c r="C40">
        <f t="shared" si="17"/>
        <v>36.536360751545317</v>
      </c>
      <c r="D40">
        <f t="shared" si="18"/>
        <v>-0.16580773414302641</v>
      </c>
      <c r="E40">
        <f t="shared" si="19"/>
        <v>8.4297592365867757E-2</v>
      </c>
      <c r="F40">
        <f t="shared" si="20"/>
        <v>36.410465976147137</v>
      </c>
    </row>
    <row r="41" spans="2:6" x14ac:dyDescent="0.3">
      <c r="B41">
        <f t="shared" si="16"/>
        <v>36.536360751545317</v>
      </c>
      <c r="C41">
        <f t="shared" si="17"/>
        <v>36.410465976147137</v>
      </c>
      <c r="D41">
        <f t="shared" si="18"/>
        <v>8.4297592365867757E-2</v>
      </c>
      <c r="E41">
        <f t="shared" si="19"/>
        <v>-7.2047592079442779E-3</v>
      </c>
      <c r="F41">
        <f t="shared" si="20"/>
        <v>36.420378743706451</v>
      </c>
    </row>
    <row r="42" spans="2:6" x14ac:dyDescent="0.3">
      <c r="B42">
        <f t="shared" si="16"/>
        <v>36.410465976147137</v>
      </c>
      <c r="C42">
        <f t="shared" si="17"/>
        <v>36.420378743706451</v>
      </c>
      <c r="D42">
        <f t="shared" si="18"/>
        <v>-7.2047592079442779E-3</v>
      </c>
      <c r="E42">
        <f t="shared" si="19"/>
        <v>-2.5107316682237979E-4</v>
      </c>
      <c r="F42" s="12">
        <f t="shared" si="20"/>
        <v>36.420736658908311</v>
      </c>
    </row>
    <row r="43" spans="2:6" x14ac:dyDescent="0.3">
      <c r="B43">
        <f t="shared" si="16"/>
        <v>36.420378743706451</v>
      </c>
      <c r="C43">
        <f t="shared" si="17"/>
        <v>36.420736658908311</v>
      </c>
      <c r="D43">
        <f t="shared" si="18"/>
        <v>-2.5107316682237979E-4</v>
      </c>
      <c r="E43">
        <f t="shared" si="19"/>
        <v>8.2430084802354031E-7</v>
      </c>
      <c r="F43">
        <f t="shared" si="20"/>
        <v>36.420735487678577</v>
      </c>
    </row>
    <row r="44" spans="2:6" x14ac:dyDescent="0.3">
      <c r="B44">
        <f t="shared" si="16"/>
        <v>36.420736658908311</v>
      </c>
      <c r="C44">
        <f t="shared" si="17"/>
        <v>36.420735487678577</v>
      </c>
      <c r="D44">
        <f t="shared" si="18"/>
        <v>8.2430084802354031E-7</v>
      </c>
      <c r="E44">
        <f t="shared" si="19"/>
        <v>-9.347900231659878E-11</v>
      </c>
      <c r="F44">
        <f t="shared" si="20"/>
        <v>36.420735487811385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CEA7-2C63-42B4-A37A-2DE3DA0E2EFF}">
  <dimension ref="A2:R62"/>
  <sheetViews>
    <sheetView topLeftCell="A39" zoomScale="96" workbookViewId="0">
      <selection activeCell="C2" sqref="C2"/>
    </sheetView>
  </sheetViews>
  <sheetFormatPr baseColWidth="10" defaultRowHeight="14.4" x14ac:dyDescent="0.3"/>
  <sheetData>
    <row r="2" spans="2:3" x14ac:dyDescent="0.3">
      <c r="B2" t="s">
        <v>1</v>
      </c>
      <c r="C2" t="s">
        <v>21</v>
      </c>
    </row>
    <row r="3" spans="2:3" x14ac:dyDescent="0.3">
      <c r="B3" t="s">
        <v>23</v>
      </c>
      <c r="C3">
        <v>1E-3</v>
      </c>
    </row>
    <row r="5" spans="2:3" x14ac:dyDescent="0.3">
      <c r="B5" s="14" t="s">
        <v>5</v>
      </c>
      <c r="C5" s="14" t="s">
        <v>6</v>
      </c>
    </row>
    <row r="6" spans="2:3" x14ac:dyDescent="0.3">
      <c r="B6" s="8">
        <v>-1.5</v>
      </c>
      <c r="C6" s="8">
        <f>B6^3-B6^2*EXP(-0.5*B6)-3*B6+1</f>
        <v>-2.6382500373785192</v>
      </c>
    </row>
    <row r="7" spans="2:3" x14ac:dyDescent="0.3">
      <c r="B7" s="8">
        <v>-0.5</v>
      </c>
      <c r="C7" s="8">
        <f>B7^3-B7^2*EXP(-0.5*B7)-3*B7+1</f>
        <v>2.0539936458280645</v>
      </c>
    </row>
    <row r="9" spans="2:3" x14ac:dyDescent="0.3">
      <c r="B9" s="14" t="s">
        <v>5</v>
      </c>
      <c r="C9" s="14" t="s">
        <v>6</v>
      </c>
    </row>
    <row r="10" spans="2:3" x14ac:dyDescent="0.3">
      <c r="B10" s="8">
        <v>0</v>
      </c>
      <c r="C10" s="8">
        <f>B10^3-B10^2*EXP(-0.5*B10)-3*B10+1</f>
        <v>1</v>
      </c>
    </row>
    <row r="11" spans="2:3" x14ac:dyDescent="0.3">
      <c r="B11" s="8">
        <v>0.5</v>
      </c>
      <c r="C11" s="8">
        <f>B11^3-B11^2*EXP(-0.5*B11)-3*B11+1</f>
        <v>-0.56970019576785114</v>
      </c>
    </row>
    <row r="13" spans="2:3" x14ac:dyDescent="0.3">
      <c r="B13" s="14" t="s">
        <v>5</v>
      </c>
      <c r="C13" s="14" t="s">
        <v>6</v>
      </c>
    </row>
    <row r="14" spans="2:3" x14ac:dyDescent="0.3">
      <c r="B14" s="8">
        <v>1.5</v>
      </c>
      <c r="C14" s="8">
        <f>B14^3-B14^2*EXP(-0.5*B14)-3*B14+1</f>
        <v>-1.1878247436672833</v>
      </c>
    </row>
    <row r="15" spans="2:3" x14ac:dyDescent="0.3">
      <c r="B15" s="8">
        <v>2</v>
      </c>
      <c r="C15" s="8">
        <f>B15^3-B15^2*EXP(-0.5*B15)-3*B15+1</f>
        <v>1.5284822353142307</v>
      </c>
    </row>
    <row r="17" spans="1:15" x14ac:dyDescent="0.3">
      <c r="A17" t="s">
        <v>25</v>
      </c>
    </row>
    <row r="18" spans="1:15" x14ac:dyDescent="0.3">
      <c r="B18" s="11" t="s">
        <v>8</v>
      </c>
      <c r="C18" s="11" t="s">
        <v>9</v>
      </c>
      <c r="D18" s="11" t="s">
        <v>14</v>
      </c>
      <c r="E18" s="11" t="s">
        <v>10</v>
      </c>
      <c r="F18" s="11" t="s">
        <v>11</v>
      </c>
      <c r="G18" s="11" t="s">
        <v>12</v>
      </c>
      <c r="J18" s="11" t="s">
        <v>8</v>
      </c>
      <c r="K18" s="11" t="s">
        <v>9</v>
      </c>
      <c r="L18" s="11" t="s">
        <v>14</v>
      </c>
      <c r="M18" s="11" t="s">
        <v>10</v>
      </c>
      <c r="N18" s="11" t="s">
        <v>11</v>
      </c>
      <c r="O18" s="11" t="s">
        <v>12</v>
      </c>
    </row>
    <row r="19" spans="1:15" x14ac:dyDescent="0.3">
      <c r="B19">
        <v>-1.5</v>
      </c>
      <c r="C19">
        <v>-0.5</v>
      </c>
      <c r="D19">
        <f>+(B19+C19)/2</f>
        <v>-1</v>
      </c>
      <c r="E19">
        <f>B19^3-B19^2*EXP(-0.5*B19)-3*B19+1</f>
        <v>-2.6382500373785192</v>
      </c>
      <c r="F19">
        <f>C19^3-C19^2*EXP(-0.5*C19)-3*C19+1</f>
        <v>2.0539936458280645</v>
      </c>
      <c r="G19">
        <f t="shared" ref="G19" si="0">D19^3-D19^2*EXP(-0.5*D19)-3*D19+1</f>
        <v>1.3512787292998718</v>
      </c>
      <c r="J19">
        <v>0</v>
      </c>
      <c r="K19">
        <v>0.5</v>
      </c>
      <c r="L19">
        <f>(J19+K19)/2</f>
        <v>0.25</v>
      </c>
      <c r="M19">
        <f>J19^3-J19^2*EXP(-0.5*J19)-3*J19+1</f>
        <v>1</v>
      </c>
      <c r="N19">
        <f>K19^3-K19^2*EXP(-0.5*K19)-3*K19+1</f>
        <v>-0.56970019576785114</v>
      </c>
      <c r="O19">
        <f t="shared" ref="O19" si="1">L19^3-L19^2*EXP(-0.5*L19)-3*L19+1</f>
        <v>0.2104689435884628</v>
      </c>
    </row>
    <row r="20" spans="1:15" x14ac:dyDescent="0.3">
      <c r="B20">
        <f>B19</f>
        <v>-1.5</v>
      </c>
      <c r="C20">
        <v>-1</v>
      </c>
      <c r="D20">
        <f>+(B20+C20)/2</f>
        <v>-1.25</v>
      </c>
      <c r="E20">
        <f>B20^3-B20^2*EXP(-0.5*B20)-3*B20+1</f>
        <v>-2.6382500373785192</v>
      </c>
      <c r="F20">
        <f t="shared" ref="F20" si="2">C20^3-C20^2*EXP(-0.5*C20)-3*C20+1</f>
        <v>1.3512787292998718</v>
      </c>
      <c r="G20">
        <f t="shared" ref="G20" si="3">D20^3-D20^2*EXP(-0.5*D20)-3*D20+1</f>
        <v>-0.12225930848784738</v>
      </c>
      <c r="J20">
        <f>L19</f>
        <v>0.25</v>
      </c>
      <c r="K20">
        <f>K19</f>
        <v>0.5</v>
      </c>
      <c r="L20">
        <f>(J20+K20)/2</f>
        <v>0.375</v>
      </c>
      <c r="M20">
        <f>J20^3-J20^2*EXP(-0.5*J20)-3*J20+1</f>
        <v>0.2104689435884628</v>
      </c>
      <c r="N20">
        <f t="shared" ref="N20" si="4">K20^3-K20^2*EXP(-0.5*K20)-3*K20+1</f>
        <v>-0.56970019576785114</v>
      </c>
      <c r="O20">
        <f t="shared" ref="O20" si="5">L20^3-L20^2*EXP(-0.5*L20)-3*L20+1</f>
        <v>-0.18884784474411886</v>
      </c>
    </row>
    <row r="21" spans="1:15" x14ac:dyDescent="0.3">
      <c r="B21">
        <f>D20</f>
        <v>-1.25</v>
      </c>
      <c r="C21">
        <f>C20</f>
        <v>-1</v>
      </c>
      <c r="D21">
        <f>+(B21+C21)/2</f>
        <v>-1.125</v>
      </c>
      <c r="E21">
        <f>B21^3-B21^2*EXP(-0.5*B21)-3*B21+1</f>
        <v>-0.12225930848784738</v>
      </c>
      <c r="F21">
        <f t="shared" ref="F21" si="6">C21^3-C21^2*EXP(-0.5*C21)-3*C21+1</f>
        <v>1.3512787292998718</v>
      </c>
      <c r="G21">
        <f t="shared" ref="G21" si="7">D21^3-D21^2*EXP(-0.5*D21)-3*D21+1</f>
        <v>0.72993082478462235</v>
      </c>
      <c r="J21">
        <f>J20</f>
        <v>0.25</v>
      </c>
      <c r="K21">
        <f>L20</f>
        <v>0.375</v>
      </c>
      <c r="L21">
        <f>(J21+K21)/2</f>
        <v>0.3125</v>
      </c>
      <c r="M21">
        <f>J21^3-J21^2*EXP(-0.5*J21)-3*J21+1</f>
        <v>0.2104689435884628</v>
      </c>
      <c r="N21">
        <f t="shared" ref="N21" si="8">K21^3-K21^2*EXP(-0.5*K21)-3*K21+1</f>
        <v>-0.18884784474411886</v>
      </c>
      <c r="O21">
        <f t="shared" ref="O21" si="9">L21^3-L21^2*EXP(-0.5*L21)-3*L21+1</f>
        <v>9.4877610051344874E-3</v>
      </c>
    </row>
    <row r="22" spans="1:15" x14ac:dyDescent="0.3">
      <c r="A22" t="s">
        <v>24</v>
      </c>
      <c r="B22">
        <f>B21</f>
        <v>-1.25</v>
      </c>
      <c r="C22">
        <f>D21</f>
        <v>-1.125</v>
      </c>
      <c r="D22">
        <f>+(B22+C22)/2</f>
        <v>-1.1875</v>
      </c>
      <c r="E22">
        <f>B22^3-B22^2*EXP(-0.5*B22)-3*B22+1</f>
        <v>-0.12225930848784738</v>
      </c>
      <c r="F22">
        <f t="shared" ref="F22" si="10">C22^3-C22^2*EXP(-0.5*C22)-3*C22+1</f>
        <v>0.72993082478462235</v>
      </c>
      <c r="G22">
        <f t="shared" ref="G22" si="11">D22^3-D22^2*EXP(-0.5*D22)-3*D22+1</f>
        <v>0.33447635923789498</v>
      </c>
      <c r="J22">
        <f>L21</f>
        <v>0.3125</v>
      </c>
      <c r="K22">
        <f>K21</f>
        <v>0.375</v>
      </c>
      <c r="L22">
        <f>(J22+K22)/2</f>
        <v>0.34375</v>
      </c>
      <c r="M22">
        <f>J22^3-J22^2*EXP(-0.5*J22)-3*J22+1</f>
        <v>9.4877610051344874E-3</v>
      </c>
      <c r="N22">
        <f t="shared" ref="N22" si="12">K22^3-K22^2*EXP(-0.5*K22)-3*K22+1</f>
        <v>-0.18884784474411886</v>
      </c>
      <c r="O22">
        <f t="shared" ref="O22" si="13">L22^3-L22^2*EXP(-0.5*L22)-3*L22+1</f>
        <v>-9.0135220394872428E-2</v>
      </c>
    </row>
    <row r="23" spans="1:15" x14ac:dyDescent="0.3">
      <c r="B23">
        <f>B22</f>
        <v>-1.25</v>
      </c>
      <c r="C23">
        <f>D22</f>
        <v>-1.1875</v>
      </c>
      <c r="D23">
        <f>+(B23+C23)/2</f>
        <v>-1.21875</v>
      </c>
      <c r="E23">
        <f>B23^3-B23^2*EXP(-0.5*B23)-3*B23+1</f>
        <v>-0.12225930848784738</v>
      </c>
      <c r="F23">
        <f t="shared" ref="F23" si="14">C23^3-C23^2*EXP(-0.5*C23)-3*C23+1</f>
        <v>0.33447635923789498</v>
      </c>
      <c r="G23">
        <f t="shared" ref="G23" si="15">D23^3-D23^2*EXP(-0.5*D23)-3*D23+1</f>
        <v>0.11399815032026517</v>
      </c>
      <c r="J23">
        <f>J22</f>
        <v>0.3125</v>
      </c>
      <c r="K23">
        <f>L22</f>
        <v>0.34375</v>
      </c>
      <c r="L23">
        <f>(J23+K23)/2</f>
        <v>0.328125</v>
      </c>
      <c r="M23">
        <f>J23^3-J23^2*EXP(-0.5*J23)-3*J23+1</f>
        <v>9.4877610051344874E-3</v>
      </c>
      <c r="N23">
        <f t="shared" ref="N23" si="16">K23^3-K23^2*EXP(-0.5*K23)-3*K23+1</f>
        <v>-9.0135220394872428E-2</v>
      </c>
      <c r="O23">
        <f t="shared" ref="O23" si="17">L23^3-L23^2*EXP(-0.5*L23)-3*L23+1</f>
        <v>-4.0422049298882712E-2</v>
      </c>
    </row>
    <row r="24" spans="1:15" x14ac:dyDescent="0.3">
      <c r="B24">
        <f>B23</f>
        <v>-1.25</v>
      </c>
      <c r="C24">
        <f>D23</f>
        <v>-1.21875</v>
      </c>
      <c r="D24">
        <f>+(B24+C24)/2</f>
        <v>-1.234375</v>
      </c>
      <c r="E24">
        <f>B24^3-B24^2*EXP(-0.5*B24)-3*B24+1</f>
        <v>-0.12225930848784738</v>
      </c>
      <c r="F24">
        <f t="shared" ref="F24" si="18">C24^3-C24^2*EXP(-0.5*C24)-3*C24+1</f>
        <v>0.11399815032026517</v>
      </c>
      <c r="G24">
        <f t="shared" ref="G24" si="19">D24^3-D24^2*EXP(-0.5*D24)-3*D24+1</f>
        <v>-2.1290798148916323E-3</v>
      </c>
      <c r="J24">
        <f>J23</f>
        <v>0.3125</v>
      </c>
      <c r="K24">
        <f>L23</f>
        <v>0.328125</v>
      </c>
      <c r="L24">
        <f>(J24+K24)/2</f>
        <v>0.3203125</v>
      </c>
      <c r="M24">
        <f>J24^3-J24^2*EXP(-0.5*J24)-3*J24+1</f>
        <v>9.4877610051344874E-3</v>
      </c>
      <c r="N24">
        <f t="shared" ref="N24" si="20">K24^3-K24^2*EXP(-0.5*K24)-3*K24+1</f>
        <v>-4.0422049298882712E-2</v>
      </c>
      <c r="O24">
        <f t="shared" ref="O24" si="21">L24^3-L24^2*EXP(-0.5*L24)-3*L24+1</f>
        <v>-1.5489782308668598E-2</v>
      </c>
    </row>
    <row r="25" spans="1:15" x14ac:dyDescent="0.3">
      <c r="B25">
        <f>D24</f>
        <v>-1.234375</v>
      </c>
      <c r="C25">
        <f>C24</f>
        <v>-1.21875</v>
      </c>
      <c r="D25">
        <f>+(B25+C25)/2</f>
        <v>-1.2265625</v>
      </c>
      <c r="E25">
        <f>B25^3-B25^2*EXP(-0.5*B25)-3*B25+1</f>
        <v>-2.1290798148916323E-3</v>
      </c>
      <c r="F25">
        <f t="shared" ref="F25" si="22">C25^3-C25^2*EXP(-0.5*C25)-3*C25+1</f>
        <v>0.11399815032026517</v>
      </c>
      <c r="G25">
        <f t="shared" ref="G25" si="23">D25^3-D25^2*EXP(-0.5*D25)-3*D25+1</f>
        <v>5.6431254909981021E-2</v>
      </c>
      <c r="J25">
        <f>J24</f>
        <v>0.3125</v>
      </c>
      <c r="K25">
        <f>L24</f>
        <v>0.3203125</v>
      </c>
      <c r="L25">
        <f>(J25+K25)/2</f>
        <v>0.31640625</v>
      </c>
      <c r="M25">
        <f>J25^3-J25^2*EXP(-0.5*J25)-3*J25+1</f>
        <v>9.4877610051344874E-3</v>
      </c>
      <c r="N25">
        <f t="shared" ref="N25:N27" si="24">K25^3-K25^2*EXP(-0.5*K25)-3*K25+1</f>
        <v>-1.5489782308668598E-2</v>
      </c>
      <c r="O25">
        <f t="shared" ref="O25:O27" si="25">L25^3-L25^2*EXP(-0.5*L25)-3*L25+1</f>
        <v>-3.006427010124435E-3</v>
      </c>
    </row>
    <row r="26" spans="1:15" x14ac:dyDescent="0.3">
      <c r="B26">
        <f>B25</f>
        <v>-1.234375</v>
      </c>
      <c r="C26">
        <f>D25</f>
        <v>-1.2265625</v>
      </c>
      <c r="D26">
        <f>+(B26+C26)/2</f>
        <v>-1.23046875</v>
      </c>
      <c r="E26">
        <f>B26^3-B26^2*EXP(-0.5*B26)-3*B26+1</f>
        <v>-2.1290798148916323E-3</v>
      </c>
      <c r="F26">
        <f t="shared" ref="F26:F30" si="26">C26^3-C26^2*EXP(-0.5*C26)-3*C26+1</f>
        <v>5.6431254909981021E-2</v>
      </c>
      <c r="G26">
        <f t="shared" ref="G26:G30" si="27">D26^3-D26^2*EXP(-0.5*D26)-3*D26+1</f>
        <v>2.7275723191040768E-2</v>
      </c>
      <c r="J26">
        <f>J25</f>
        <v>0.3125</v>
      </c>
      <c r="K26">
        <f>L25</f>
        <v>0.31640625</v>
      </c>
      <c r="L26">
        <f>(J26+K26)/2</f>
        <v>0.314453125</v>
      </c>
      <c r="M26">
        <f>J26^3-J26^2*EXP(-0.5*J26)-3*J26+1</f>
        <v>9.4877610051344874E-3</v>
      </c>
      <c r="N26">
        <f t="shared" si="24"/>
        <v>-3.006427010124435E-3</v>
      </c>
      <c r="O26">
        <f t="shared" si="25"/>
        <v>3.239343334866418E-3</v>
      </c>
    </row>
    <row r="27" spans="1:15" x14ac:dyDescent="0.3">
      <c r="B27">
        <f>B26</f>
        <v>-1.234375</v>
      </c>
      <c r="C27">
        <f>D26</f>
        <v>-1.23046875</v>
      </c>
      <c r="D27">
        <f>+(B27+C27)/2</f>
        <v>-1.232421875</v>
      </c>
      <c r="E27">
        <f>B27^3-B27^2*EXP(-0.5*B27)-3*B27+1</f>
        <v>-2.1290798148916323E-3</v>
      </c>
      <c r="F27">
        <f t="shared" si="26"/>
        <v>2.7275723191040768E-2</v>
      </c>
      <c r="G27">
        <f t="shared" si="27"/>
        <v>1.2604537666828897E-2</v>
      </c>
      <c r="J27">
        <f>L26</f>
        <v>0.314453125</v>
      </c>
      <c r="K27">
        <f>K26</f>
        <v>0.31640625</v>
      </c>
      <c r="L27">
        <f>(J27+K27)/2</f>
        <v>0.3154296875</v>
      </c>
      <c r="M27">
        <f>J27^3-J27^2*EXP(-0.5*J27)-3*J27+1</f>
        <v>3.239343334866418E-3</v>
      </c>
      <c r="N27">
        <f t="shared" si="24"/>
        <v>-3.006427010124435E-3</v>
      </c>
      <c r="O27">
        <f t="shared" si="25"/>
        <v>1.1612344203659752E-4</v>
      </c>
    </row>
    <row r="28" spans="1:15" x14ac:dyDescent="0.3">
      <c r="B28">
        <f>B27</f>
        <v>-1.234375</v>
      </c>
      <c r="C28">
        <f>D27</f>
        <v>-1.232421875</v>
      </c>
      <c r="D28">
        <f>+(B28+C28)/2</f>
        <v>-1.2333984375</v>
      </c>
      <c r="E28">
        <f>B28^3-B28^2*EXP(-0.5*B28)-3*B28+1</f>
        <v>-2.1290798148916323E-3</v>
      </c>
      <c r="F28">
        <f t="shared" si="26"/>
        <v>1.2604537666828897E-2</v>
      </c>
      <c r="G28">
        <f t="shared" si="27"/>
        <v>5.2455400605149194E-3</v>
      </c>
    </row>
    <row r="29" spans="1:15" x14ac:dyDescent="0.3">
      <c r="B29">
        <f>B28</f>
        <v>-1.234375</v>
      </c>
      <c r="C29">
        <f>D28</f>
        <v>-1.2333984375</v>
      </c>
      <c r="D29" s="4">
        <f>+(B29+C29)/2</f>
        <v>-1.23388671875</v>
      </c>
      <c r="E29">
        <f>B29^3-B29^2*EXP(-0.5*B29)-3*B29+1</f>
        <v>-2.1290798148916323E-3</v>
      </c>
      <c r="F29">
        <f t="shared" si="26"/>
        <v>5.2455400605149194E-3</v>
      </c>
      <c r="G29">
        <f t="shared" si="27"/>
        <v>1.5601837993290957E-3</v>
      </c>
    </row>
    <row r="30" spans="1:15" x14ac:dyDescent="0.3">
      <c r="B30">
        <f>B29</f>
        <v>-1.234375</v>
      </c>
      <c r="C30">
        <f>D29</f>
        <v>-1.23388671875</v>
      </c>
      <c r="D30">
        <f>+(B30+C30)/2</f>
        <v>-1.234130859375</v>
      </c>
      <c r="E30">
        <f>B30^3-B30^2*EXP(-0.5*B30)-3*B30+1</f>
        <v>-2.1290798148916323E-3</v>
      </c>
      <c r="F30">
        <f t="shared" si="26"/>
        <v>1.5601837993290957E-3</v>
      </c>
      <c r="G30">
        <f t="shared" si="27"/>
        <v>-2.8395947701653768E-4</v>
      </c>
    </row>
    <row r="32" spans="1:15" x14ac:dyDescent="0.3">
      <c r="B32" s="11" t="s">
        <v>8</v>
      </c>
      <c r="C32" s="11" t="s">
        <v>9</v>
      </c>
      <c r="D32" s="11" t="s">
        <v>14</v>
      </c>
      <c r="E32" s="11" t="s">
        <v>10</v>
      </c>
      <c r="F32" s="11" t="s">
        <v>11</v>
      </c>
      <c r="G32" s="11" t="s">
        <v>12</v>
      </c>
    </row>
    <row r="33" spans="2:14" x14ac:dyDescent="0.3">
      <c r="B33">
        <v>1.5</v>
      </c>
      <c r="C33">
        <v>2</v>
      </c>
      <c r="D33">
        <f>(B33+C33)/2</f>
        <v>1.75</v>
      </c>
      <c r="E33">
        <f>B33^3-B33^2*EXP(-0.5*B33)-3*B33+1</f>
        <v>-1.1878247436672833</v>
      </c>
      <c r="F33">
        <f t="shared" ref="F33:G33" si="28">C33^3-C33^2*EXP(-0.5*C33)-3*C33+1</f>
        <v>1.5284822353142307</v>
      </c>
      <c r="G33">
        <f t="shared" si="28"/>
        <v>-0.16726493526543162</v>
      </c>
    </row>
    <row r="34" spans="2:14" x14ac:dyDescent="0.3">
      <c r="B34">
        <f>D33</f>
        <v>1.75</v>
      </c>
      <c r="C34">
        <f>C33</f>
        <v>2</v>
      </c>
      <c r="D34">
        <f>(B34+C34)/2</f>
        <v>1.875</v>
      </c>
      <c r="E34">
        <f>B34^3-B34^2*EXP(-0.5*B34)-3*B34+1</f>
        <v>-0.16726493526543162</v>
      </c>
      <c r="F34">
        <f t="shared" ref="F34" si="29">C34^3-C34^2*EXP(-0.5*C34)-3*C34+1</f>
        <v>1.5284822353142307</v>
      </c>
      <c r="G34">
        <f t="shared" ref="G34" si="30">D34^3-D34^2*EXP(-0.5*D34)-3*D34+1</f>
        <v>0.59005834371437871</v>
      </c>
    </row>
    <row r="35" spans="2:14" x14ac:dyDescent="0.3">
      <c r="B35">
        <f>B34</f>
        <v>1.75</v>
      </c>
      <c r="C35">
        <f>D34</f>
        <v>1.875</v>
      </c>
      <c r="D35">
        <f>(B35+C35)/2</f>
        <v>1.8125</v>
      </c>
      <c r="E35">
        <f>B35^3-B35^2*EXP(-0.5*B35)-3*B35+1</f>
        <v>-0.16726493526543162</v>
      </c>
      <c r="F35">
        <f t="shared" ref="F35" si="31">C35^3-C35^2*EXP(-0.5*C35)-3*C35+1</f>
        <v>0.59005834371437871</v>
      </c>
      <c r="G35">
        <f t="shared" ref="G35" si="32">D35^3-D35^2*EXP(-0.5*D35)-3*D35+1</f>
        <v>0.18952259218409928</v>
      </c>
    </row>
    <row r="36" spans="2:14" x14ac:dyDescent="0.3">
      <c r="B36">
        <f>B35</f>
        <v>1.75</v>
      </c>
      <c r="C36">
        <f>D35</f>
        <v>1.8125</v>
      </c>
      <c r="D36">
        <f>(B36+C36)/2</f>
        <v>1.78125</v>
      </c>
      <c r="E36">
        <f>B36^3-B36^2*EXP(-0.5*B36)-3*B36+1</f>
        <v>-0.16726493526543162</v>
      </c>
      <c r="F36">
        <f t="shared" ref="F36" si="33">C36^3-C36^2*EXP(-0.5*C36)-3*C36+1</f>
        <v>0.18952259218409928</v>
      </c>
      <c r="G36">
        <f t="shared" ref="G36" si="34">D36^3-D36^2*EXP(-0.5*D36)-3*D36+1</f>
        <v>5.7561880955994127E-3</v>
      </c>
    </row>
    <row r="37" spans="2:14" x14ac:dyDescent="0.3">
      <c r="B37">
        <f>B36</f>
        <v>1.75</v>
      </c>
      <c r="C37">
        <f>D36</f>
        <v>1.78125</v>
      </c>
      <c r="D37">
        <f>(B37+C37)/2</f>
        <v>1.765625</v>
      </c>
      <c r="E37">
        <f>B37^3-B37^2*EXP(-0.5*B37)-3*B37+1</f>
        <v>-0.16726493526543162</v>
      </c>
      <c r="F37">
        <f t="shared" ref="F37" si="35">C37^3-C37^2*EXP(-0.5*C37)-3*C37+1</f>
        <v>5.7561880955994127E-3</v>
      </c>
      <c r="G37">
        <f t="shared" ref="G37" si="36">D37^3-D37^2*EXP(-0.5*D37)-3*D37+1</f>
        <v>-8.2085517878812908E-2</v>
      </c>
    </row>
    <row r="38" spans="2:14" x14ac:dyDescent="0.3">
      <c r="B38">
        <f>D37</f>
        <v>1.765625</v>
      </c>
      <c r="C38">
        <f>C37</f>
        <v>1.78125</v>
      </c>
      <c r="D38">
        <f>(B38+C38)/2</f>
        <v>1.7734375</v>
      </c>
      <c r="E38">
        <f>B38^3-B38^2*EXP(-0.5*B38)-3*B38+1</f>
        <v>-8.2085517878812908E-2</v>
      </c>
      <c r="F38">
        <f t="shared" ref="F38" si="37">C38^3-C38^2*EXP(-0.5*C38)-3*C38+1</f>
        <v>5.7561880955994127E-3</v>
      </c>
      <c r="G38">
        <f t="shared" ref="G38" si="38">D38^3-D38^2*EXP(-0.5*D38)-3*D38+1</f>
        <v>-3.8498954300466792E-2</v>
      </c>
    </row>
    <row r="39" spans="2:14" x14ac:dyDescent="0.3">
      <c r="B39">
        <f>D38</f>
        <v>1.7734375</v>
      </c>
      <c r="C39">
        <f>C38</f>
        <v>1.78125</v>
      </c>
      <c r="D39">
        <f>(B39+C39)/2</f>
        <v>1.77734375</v>
      </c>
      <c r="E39">
        <f>B39^3-B39^2*EXP(-0.5*B39)-3*B39+1</f>
        <v>-3.8498954300466792E-2</v>
      </c>
      <c r="F39">
        <f t="shared" ref="F39" si="39">C39^3-C39^2*EXP(-0.5*C39)-3*C39+1</f>
        <v>5.7561880955994127E-3</v>
      </c>
      <c r="G39">
        <f t="shared" ref="G39" si="40">D39^3-D39^2*EXP(-0.5*D39)-3*D39+1</f>
        <v>-1.6455143251628002E-2</v>
      </c>
    </row>
    <row r="40" spans="2:14" x14ac:dyDescent="0.3">
      <c r="B40">
        <f>D39</f>
        <v>1.77734375</v>
      </c>
      <c r="C40">
        <f>C39</f>
        <v>1.78125</v>
      </c>
      <c r="D40">
        <f>(B40+C40)/2</f>
        <v>1.779296875</v>
      </c>
      <c r="E40">
        <f>B40^3-B40^2*EXP(-0.5*B40)-3*B40+1</f>
        <v>-1.6455143251628002E-2</v>
      </c>
      <c r="F40">
        <f t="shared" ref="F40" si="41">C40^3-C40^2*EXP(-0.5*C40)-3*C40+1</f>
        <v>5.7561880955994127E-3</v>
      </c>
      <c r="G40">
        <f t="shared" ref="G40" si="42">D40^3-D40^2*EXP(-0.5*D40)-3*D40+1</f>
        <v>-5.3704410824852999E-3</v>
      </c>
    </row>
    <row r="41" spans="2:14" x14ac:dyDescent="0.3">
      <c r="B41" t="s">
        <v>29</v>
      </c>
    </row>
    <row r="42" spans="2:14" x14ac:dyDescent="0.3">
      <c r="B42" s="6" t="s">
        <v>5</v>
      </c>
      <c r="C42" s="6" t="s">
        <v>6</v>
      </c>
      <c r="D42" s="6" t="s">
        <v>27</v>
      </c>
      <c r="G42" s="6" t="s">
        <v>5</v>
      </c>
      <c r="H42" s="6" t="s">
        <v>6</v>
      </c>
      <c r="I42" s="6" t="s">
        <v>27</v>
      </c>
      <c r="L42" s="6" t="s">
        <v>5</v>
      </c>
      <c r="M42" s="6" t="s">
        <v>6</v>
      </c>
      <c r="N42" s="6" t="s">
        <v>27</v>
      </c>
    </row>
    <row r="43" spans="2:14" x14ac:dyDescent="0.3">
      <c r="B43">
        <v>-0.5</v>
      </c>
      <c r="C43">
        <f>B43^3-B43^2*EXP(-0.5*B43)-3*B43+1</f>
        <v>2.0539936458280645</v>
      </c>
      <c r="D43">
        <f>3*B43^2-EXP(-0.5*B43)*(2*B43-0.5*B43^2)-3</f>
        <v>-0.80547140622629065</v>
      </c>
      <c r="G43">
        <v>0.5</v>
      </c>
      <c r="H43">
        <f>G43^3-G43^2*EXP(-0.5*G43)-3*G43+1</f>
        <v>-0.56970019576785114</v>
      </c>
      <c r="I43">
        <f>3*G43^2-EXP(-0.5*G43)*(2*G43-0.5*G43^2)-3</f>
        <v>-2.9314506851874791</v>
      </c>
      <c r="L43">
        <v>2</v>
      </c>
      <c r="M43">
        <f>L43^3-L43^2*EXP(-0.5*L43)-3*L43+1</f>
        <v>1.5284822353142307</v>
      </c>
      <c r="N43">
        <f>3*L43^2-EXP(-0.5*L43)*(2*L43-0.5*L43^2)-3</f>
        <v>8.2642411176571144</v>
      </c>
    </row>
    <row r="44" spans="2:14" x14ac:dyDescent="0.3">
      <c r="B44">
        <f>B43-(C43/D43)</f>
        <v>2.0500515970532311</v>
      </c>
      <c r="C44">
        <f>B44^3-B44^2*EXP(-0.5*B44)-3*B44+1</f>
        <v>1.9577415871550095</v>
      </c>
      <c r="D44">
        <f>3*B44^2-EXP(-0.5*B44)*(2*B44-0.5*B44^2)-3</f>
        <v>8.8910096436382435</v>
      </c>
      <c r="G44">
        <f>G43-(H43/I43)</f>
        <v>0.30565929399852199</v>
      </c>
      <c r="H44">
        <f>G44^3-G44^2*EXP(-0.5*G44)-3*G44+1</f>
        <v>3.1392470773618286E-2</v>
      </c>
      <c r="I44">
        <f>3*G44^2-EXP(-0.5*G44)*(2*G44-0.5*G44^2)-3</f>
        <v>-3.2043038796807681</v>
      </c>
      <c r="L44">
        <f>L43-(M43/N43)</f>
        <v>1.8150486882517836</v>
      </c>
      <c r="M44">
        <f>L44^3-L44^2*EXP(-0.5*L44)-3*L44+1</f>
        <v>0.20499001286131691</v>
      </c>
      <c r="N44">
        <f>3*L44^2-EXP(-0.5*L44)*(2*L44-0.5*L44^2)-3</f>
        <v>6.0830629176664601</v>
      </c>
    </row>
    <row r="45" spans="2:14" x14ac:dyDescent="0.3">
      <c r="B45">
        <f t="shared" ref="B45:B49" si="43">B44-(C44/D44)</f>
        <v>1.8298582033191657</v>
      </c>
      <c r="C45">
        <f t="shared" ref="C45:C50" si="44">B45^3-B45^2*EXP(-0.5*B45)-3*B45+1</f>
        <v>0.29631054912012367</v>
      </c>
      <c r="D45">
        <f t="shared" ref="D45:D49" si="45">3*B45^2-EXP(-0.5*B45)*(2*B45-0.5*B45^2)-3</f>
        <v>6.2498506215625191</v>
      </c>
      <c r="G45">
        <f t="shared" ref="G45:G50" si="46">G44-(H44/I44)</f>
        <v>0.31545626455823861</v>
      </c>
      <c r="H45">
        <f t="shared" ref="H45:H50" si="47">G45^3-G45^2*EXP(-0.5*G45)-3*G45+1</f>
        <v>3.113462393733446E-5</v>
      </c>
      <c r="I45">
        <f t="shared" ref="I45:I50" si="48">3*G45^2-EXP(-0.5*G45)*(2*G45-0.5*G45^2)-3</f>
        <v>-3.1978170561237667</v>
      </c>
      <c r="L45">
        <f t="shared" ref="L45:L49" si="49">L44-(M44/N44)</f>
        <v>1.7813502018748</v>
      </c>
      <c r="M45">
        <f t="shared" ref="M45:M49" si="50">L45^3-L45^2*EXP(-0.5*L45)-3*L45+1</f>
        <v>6.3281530969501176E-3</v>
      </c>
      <c r="N45">
        <f t="shared" ref="N45:N49" si="51">3*L45^2-EXP(-0.5*L45)*(2*L45-0.5*L45^2)-3</f>
        <v>5.7086780365133922</v>
      </c>
    </row>
    <row r="46" spans="2:14" x14ac:dyDescent="0.3">
      <c r="B46">
        <f t="shared" si="43"/>
        <v>1.782447382315248</v>
      </c>
      <c r="C46">
        <f t="shared" si="44"/>
        <v>1.2598227607498735E-2</v>
      </c>
      <c r="D46">
        <f t="shared" si="45"/>
        <v>5.7207550311752549</v>
      </c>
      <c r="G46">
        <f t="shared" si="46"/>
        <v>0.31546600076997022</v>
      </c>
      <c r="H46">
        <f t="shared" si="47"/>
        <v>3.3282265832212943E-11</v>
      </c>
      <c r="I46">
        <f t="shared" si="48"/>
        <v>-3.19781021919554</v>
      </c>
      <c r="L46">
        <f t="shared" si="49"/>
        <v>1.7802416872490889</v>
      </c>
      <c r="M46">
        <f t="shared" si="50"/>
        <v>6.7593588903847035E-6</v>
      </c>
      <c r="N46">
        <f t="shared" si="51"/>
        <v>5.6964839817511077</v>
      </c>
    </row>
    <row r="47" spans="2:14" x14ac:dyDescent="0.3">
      <c r="B47">
        <f t="shared" si="43"/>
        <v>1.780245185657841</v>
      </c>
      <c r="C47">
        <f t="shared" si="44"/>
        <v>2.6688055602797078E-5</v>
      </c>
      <c r="D47">
        <f t="shared" si="45"/>
        <v>5.6965224533174279</v>
      </c>
      <c r="G47" s="7">
        <f t="shared" si="46"/>
        <v>0.31546600078037806</v>
      </c>
      <c r="H47">
        <f t="shared" si="47"/>
        <v>0</v>
      </c>
      <c r="I47">
        <f t="shared" si="48"/>
        <v>-3.1978102191882312</v>
      </c>
      <c r="L47">
        <f t="shared" si="49"/>
        <v>1.7802405006647131</v>
      </c>
      <c r="M47">
        <f t="shared" si="50"/>
        <v>7.7431394629456918E-12</v>
      </c>
      <c r="N47">
        <f t="shared" si="51"/>
        <v>5.6964709330476833</v>
      </c>
    </row>
    <row r="48" spans="2:14" x14ac:dyDescent="0.3">
      <c r="B48">
        <f t="shared" si="43"/>
        <v>1.7802405006845399</v>
      </c>
      <c r="C48">
        <f t="shared" si="44"/>
        <v>1.2068657184727272E-10</v>
      </c>
      <c r="D48">
        <f t="shared" si="45"/>
        <v>5.6964709332657151</v>
      </c>
      <c r="G48">
        <f t="shared" si="46"/>
        <v>0.31546600078037806</v>
      </c>
      <c r="H48">
        <f t="shared" si="47"/>
        <v>0</v>
      </c>
      <c r="I48">
        <f t="shared" si="48"/>
        <v>-3.1978102191882312</v>
      </c>
      <c r="L48" s="7">
        <f t="shared" si="49"/>
        <v>1.7802405006633537</v>
      </c>
      <c r="M48">
        <f t="shared" si="50"/>
        <v>0</v>
      </c>
      <c r="N48">
        <f t="shared" si="51"/>
        <v>5.6964709330327334</v>
      </c>
    </row>
    <row r="49" spans="2:18" x14ac:dyDescent="0.3">
      <c r="B49" s="7">
        <f t="shared" si="43"/>
        <v>1.7802405006633537</v>
      </c>
      <c r="C49">
        <f t="shared" si="44"/>
        <v>0</v>
      </c>
      <c r="D49">
        <f t="shared" si="45"/>
        <v>5.6964709330327334</v>
      </c>
      <c r="G49">
        <f t="shared" si="46"/>
        <v>0.31546600078037806</v>
      </c>
      <c r="H49">
        <f t="shared" si="47"/>
        <v>0</v>
      </c>
      <c r="I49">
        <f t="shared" si="48"/>
        <v>-3.1978102191882312</v>
      </c>
      <c r="L49">
        <f t="shared" si="49"/>
        <v>1.7802405006633537</v>
      </c>
      <c r="M49">
        <f t="shared" si="50"/>
        <v>0</v>
      </c>
      <c r="N49">
        <f t="shared" si="51"/>
        <v>5.6964709330327334</v>
      </c>
    </row>
    <row r="50" spans="2:18" x14ac:dyDescent="0.3">
      <c r="B50">
        <f t="shared" ref="B50" si="52">B49-(C49/D49)</f>
        <v>1.7802405006633537</v>
      </c>
      <c r="C50">
        <f t="shared" si="44"/>
        <v>0</v>
      </c>
      <c r="D50">
        <f t="shared" ref="D50" si="53">3*B50^2-EXP(-0.5*B50)*(2*B50-0.5*B50^2)-3</f>
        <v>5.6964709330327334</v>
      </c>
      <c r="G50">
        <f t="shared" si="46"/>
        <v>0.31546600078037806</v>
      </c>
      <c r="H50">
        <f t="shared" si="47"/>
        <v>0</v>
      </c>
      <c r="I50">
        <f t="shared" si="48"/>
        <v>-3.1978102191882312</v>
      </c>
    </row>
    <row r="52" spans="2:18" x14ac:dyDescent="0.3">
      <c r="B52" t="s">
        <v>31</v>
      </c>
    </row>
    <row r="53" spans="2:18" x14ac:dyDescent="0.3">
      <c r="B53" s="13" t="s">
        <v>8</v>
      </c>
      <c r="C53" s="13" t="s">
        <v>9</v>
      </c>
      <c r="D53" s="13" t="s">
        <v>10</v>
      </c>
      <c r="E53" s="13" t="s">
        <v>11</v>
      </c>
      <c r="F53" s="13" t="s">
        <v>14</v>
      </c>
      <c r="H53" s="13" t="s">
        <v>8</v>
      </c>
      <c r="I53" s="13" t="s">
        <v>9</v>
      </c>
      <c r="J53" s="13" t="s">
        <v>10</v>
      </c>
      <c r="K53" s="13" t="s">
        <v>11</v>
      </c>
      <c r="L53" s="13" t="s">
        <v>14</v>
      </c>
      <c r="N53" s="13" t="s">
        <v>8</v>
      </c>
      <c r="O53" s="13" t="s">
        <v>9</v>
      </c>
      <c r="P53" s="13" t="s">
        <v>10</v>
      </c>
      <c r="Q53" s="13" t="s">
        <v>11</v>
      </c>
      <c r="R53" s="13" t="s">
        <v>14</v>
      </c>
    </row>
    <row r="54" spans="2:18" x14ac:dyDescent="0.3">
      <c r="B54">
        <v>-1.5</v>
      </c>
      <c r="C54">
        <v>-0.5</v>
      </c>
      <c r="D54">
        <f>B54^3-B54^2*EXP(-0.5*B54)-3*B54+1</f>
        <v>-2.6382500373785192</v>
      </c>
      <c r="E54">
        <f>C54^3-C54^2*EXP(-0.5*C54)-3*C54+1</f>
        <v>2.0539936458280645</v>
      </c>
      <c r="F54">
        <f>C54-E54*((C54-B54)/(E54-D54))</f>
        <v>-0.93774232211750919</v>
      </c>
      <c r="H54">
        <v>0</v>
      </c>
      <c r="I54">
        <v>0.5</v>
      </c>
      <c r="J54">
        <f>H54^3-H54^2*EXP(-0.5*H54)-3*H54+1</f>
        <v>1</v>
      </c>
      <c r="K54">
        <f>I54^3-I54^2*EXP(-0.5*I54)-3*I54+1</f>
        <v>-0.56970019576785114</v>
      </c>
      <c r="L54">
        <f>I54-K54*((I54-H54)/(K54-J54))</f>
        <v>0.31853216387949468</v>
      </c>
      <c r="N54">
        <v>1.5</v>
      </c>
      <c r="O54">
        <v>2</v>
      </c>
      <c r="P54">
        <f>N54^3-N54^2*EXP(-0.5*N54)-3*N54+1</f>
        <v>-1.1878247436672833</v>
      </c>
      <c r="Q54">
        <f>O54^3-O54^2*EXP(-0.5*O54)-3*O54+1</f>
        <v>1.5284822353142307</v>
      </c>
      <c r="R54">
        <f>O54-Q54*((O54-N54)/(Q54-P54))</f>
        <v>1.7186469999264702</v>
      </c>
    </row>
    <row r="55" spans="2:18" x14ac:dyDescent="0.3">
      <c r="B55">
        <f>C54</f>
        <v>-0.5</v>
      </c>
      <c r="C55">
        <f>F54</f>
        <v>-0.93774232211750919</v>
      </c>
      <c r="D55">
        <f>B55^3-B55^2*EXP(-0.5*B55)-3*B55+1</f>
        <v>2.0539936458280645</v>
      </c>
      <c r="E55">
        <f>C55^3-C55^2*EXP(-0.5*C55)-3*C55+1</f>
        <v>1.5832286511261215</v>
      </c>
      <c r="F55">
        <f>C55-E55*((C55-B55)/(E55-D55))</f>
        <v>-2.4099125004157296</v>
      </c>
      <c r="H55">
        <f>I54</f>
        <v>0.5</v>
      </c>
      <c r="I55">
        <f>L54</f>
        <v>0.31853216387949468</v>
      </c>
      <c r="J55">
        <f>H55^3-H55^2*EXP(-0.5*H55)-3*H55+1</f>
        <v>-0.56970019576785114</v>
      </c>
      <c r="K55">
        <f>I55^3-I55^2*EXP(-0.5*I55)-3*I55+1</f>
        <v>-9.8016673746958993E-3</v>
      </c>
      <c r="L55">
        <f>I55-K55*((I55-H55)/(K55-J55))</f>
        <v>0.31535536080061599</v>
      </c>
      <c r="N55">
        <f>O54</f>
        <v>2</v>
      </c>
      <c r="O55">
        <f>R54</f>
        <v>1.7186469999264702</v>
      </c>
      <c r="P55">
        <f>N55^3-N55^2*EXP(-0.5*N55)-3*N55+1</f>
        <v>1.5284822353142307</v>
      </c>
      <c r="Q55">
        <f>O55^3-O55^2*EXP(-0.5*O55)-3*O55+1</f>
        <v>-0.33025150259725455</v>
      </c>
      <c r="R55">
        <f>O55-Q55*((O55-N55)/(Q55-P55))</f>
        <v>1.7686365434201674</v>
      </c>
    </row>
    <row r="56" spans="2:18" x14ac:dyDescent="0.3">
      <c r="B56">
        <f t="shared" ref="B56:B62" si="54">C55</f>
        <v>-0.93774232211750919</v>
      </c>
      <c r="C56">
        <f t="shared" ref="C56:C62" si="55">F55</f>
        <v>-2.4099125004157296</v>
      </c>
      <c r="D56">
        <f t="shared" ref="D56:D62" si="56">B56^3-B56^2*EXP(-0.5*B56)-3*B56+1</f>
        <v>1.5832286511261215</v>
      </c>
      <c r="E56">
        <f t="shared" ref="E56:E62" si="57">C56^3-C56^2*EXP(-0.5*C56)-3*C56+1</f>
        <v>-25.144234289576172</v>
      </c>
      <c r="F56">
        <f t="shared" ref="F56:F62" si="58">C56-E56*((C56-B56)/(E56-D56))</f>
        <v>-1.0249478309526079</v>
      </c>
      <c r="H56">
        <f t="shared" ref="H56:H59" si="59">I55</f>
        <v>0.31853216387949468</v>
      </c>
      <c r="I56">
        <f t="shared" ref="I56:I59" si="60">L55</f>
        <v>0.31535536080061599</v>
      </c>
      <c r="J56">
        <f t="shared" ref="J56:J59" si="61">H56^3-H56^2*EXP(-0.5*H56)-3*H56+1</f>
        <v>-9.8016673746958993E-3</v>
      </c>
      <c r="K56">
        <f t="shared" ref="K56:K59" si="62">I56^3-I56^2*EXP(-0.5*I56)-3*I56+1</f>
        <v>3.5380995432121587E-4</v>
      </c>
      <c r="L56">
        <f t="shared" ref="L56:L59" si="63">I56-K56*((I56-H56)/(K56-J56))</f>
        <v>0.31546603846901217</v>
      </c>
      <c r="N56">
        <f t="shared" ref="N56:N61" si="64">O55</f>
        <v>1.7186469999264702</v>
      </c>
      <c r="O56">
        <f t="shared" ref="O56:O61" si="65">R55</f>
        <v>1.7686365434201674</v>
      </c>
      <c r="P56">
        <f>N56^3-N56^2*EXP(-0.5*N56)-3*N56+1</f>
        <v>-0.33025150259725455</v>
      </c>
      <c r="Q56">
        <f>O56^3-O56^2*EXP(-0.5*O56)-3*O56+1</f>
        <v>-6.5362872245422032E-2</v>
      </c>
      <c r="R56">
        <f t="shared" ref="R56:R61" si="66">O56-Q56*((O56-N56)/(Q56-P56))</f>
        <v>1.7809717657384887</v>
      </c>
    </row>
    <row r="57" spans="2:18" x14ac:dyDescent="0.3">
      <c r="B57">
        <f t="shared" si="54"/>
        <v>-2.4099125004157296</v>
      </c>
      <c r="C57">
        <f t="shared" si="55"/>
        <v>-1.0249478309526079</v>
      </c>
      <c r="D57">
        <f t="shared" si="56"/>
        <v>-25.144234289576172</v>
      </c>
      <c r="E57">
        <f t="shared" si="57"/>
        <v>1.2443655494376991</v>
      </c>
      <c r="F57">
        <f t="shared" si="58"/>
        <v>-1.0902564237685231</v>
      </c>
      <c r="H57">
        <f t="shared" si="59"/>
        <v>0.31535536080061599</v>
      </c>
      <c r="I57">
        <f t="shared" si="60"/>
        <v>0.31546603846901217</v>
      </c>
      <c r="J57">
        <f t="shared" si="61"/>
        <v>3.5380995432121587E-4</v>
      </c>
      <c r="K57">
        <f t="shared" si="62"/>
        <v>-1.2052109887861207E-7</v>
      </c>
      <c r="L57">
        <f t="shared" si="63"/>
        <v>0.3154660007808357</v>
      </c>
      <c r="N57">
        <f t="shared" si="64"/>
        <v>1.7686365434201674</v>
      </c>
      <c r="O57">
        <f t="shared" si="65"/>
        <v>1.7809717657384887</v>
      </c>
      <c r="P57">
        <f>N57^3-N57^2*EXP(-0.5*N57)-3*N57+1</f>
        <v>-6.5362872245422032E-2</v>
      </c>
      <c r="Q57">
        <f>O57^3-O57^2*EXP(-0.5*O57)-3*O57+1</f>
        <v>4.1685709323697751E-3</v>
      </c>
      <c r="R57">
        <f t="shared" si="66"/>
        <v>1.7802322406135895</v>
      </c>
    </row>
    <row r="58" spans="2:18" x14ac:dyDescent="0.3">
      <c r="B58">
        <f t="shared" si="54"/>
        <v>-1.0249478309526079</v>
      </c>
      <c r="C58">
        <f t="shared" si="55"/>
        <v>-1.0902564237685231</v>
      </c>
      <c r="D58">
        <f t="shared" si="56"/>
        <v>1.2443655494376991</v>
      </c>
      <c r="E58">
        <f t="shared" si="57"/>
        <v>0.92459184232711822</v>
      </c>
      <c r="F58">
        <f t="shared" si="58"/>
        <v>-1.2790893103028036</v>
      </c>
      <c r="H58">
        <f t="shared" si="59"/>
        <v>0.31546603846901217</v>
      </c>
      <c r="I58">
        <f t="shared" si="60"/>
        <v>0.3154660007808357</v>
      </c>
      <c r="J58">
        <f t="shared" si="61"/>
        <v>-1.2052109887861207E-7</v>
      </c>
      <c r="K58">
        <f t="shared" si="62"/>
        <v>-1.4634959910608814E-12</v>
      </c>
      <c r="L58">
        <f t="shared" si="63"/>
        <v>0.31546600078037806</v>
      </c>
      <c r="N58">
        <f t="shared" si="64"/>
        <v>1.7809717657384887</v>
      </c>
      <c r="O58">
        <f t="shared" si="65"/>
        <v>1.7802322406135895</v>
      </c>
      <c r="P58">
        <f>N58^3-N58^2*EXP(-0.5*N58)-3*N58+1</f>
        <v>4.1685709323697751E-3</v>
      </c>
      <c r="Q58">
        <f>O58^3-O58^2*EXP(-0.5*O58)-3*O58+1</f>
        <v>-4.7052758239907178E-5</v>
      </c>
      <c r="R58">
        <f t="shared" si="66"/>
        <v>1.7802404948363257</v>
      </c>
    </row>
    <row r="59" spans="2:18" x14ac:dyDescent="0.3">
      <c r="B59">
        <f t="shared" si="54"/>
        <v>-1.0902564237685231</v>
      </c>
      <c r="C59">
        <f t="shared" si="55"/>
        <v>-1.2790893103028036</v>
      </c>
      <c r="D59">
        <f t="shared" si="56"/>
        <v>0.92459184232711822</v>
      </c>
      <c r="E59">
        <f t="shared" si="57"/>
        <v>-0.35677297549261056</v>
      </c>
      <c r="F59">
        <f t="shared" si="58"/>
        <v>-1.2265121910758794</v>
      </c>
      <c r="H59">
        <f t="shared" si="59"/>
        <v>0.3154660007808357</v>
      </c>
      <c r="I59">
        <f t="shared" si="60"/>
        <v>0.31546600078037806</v>
      </c>
      <c r="J59">
        <f t="shared" si="61"/>
        <v>-1.4634959910608814E-12</v>
      </c>
      <c r="K59">
        <f t="shared" si="62"/>
        <v>0</v>
      </c>
      <c r="L59" s="12">
        <f t="shared" si="63"/>
        <v>0.31546600078037806</v>
      </c>
      <c r="N59">
        <f t="shared" si="64"/>
        <v>1.7802322406135895</v>
      </c>
      <c r="O59">
        <f t="shared" si="65"/>
        <v>1.7802404948363257</v>
      </c>
      <c r="P59">
        <f>N59^3-N59^2*EXP(-0.5*N59)-3*N59+1</f>
        <v>-4.7052758239907178E-5</v>
      </c>
      <c r="Q59">
        <f>O59^3-O59^2*EXP(-0.5*O59)-3*O59+1</f>
        <v>-3.3193495951877594E-8</v>
      </c>
      <c r="R59">
        <f t="shared" si="66"/>
        <v>1.7802405006634003</v>
      </c>
    </row>
    <row r="60" spans="2:18" x14ac:dyDescent="0.3">
      <c r="B60">
        <f t="shared" si="54"/>
        <v>-1.2790893103028036</v>
      </c>
      <c r="C60">
        <f t="shared" si="55"/>
        <v>-1.2265121910758794</v>
      </c>
      <c r="D60">
        <f t="shared" si="56"/>
        <v>-0.35677297549261056</v>
      </c>
      <c r="E60">
        <f t="shared" si="57"/>
        <v>5.6805129595279169E-2</v>
      </c>
      <c r="F60" s="12">
        <f t="shared" si="58"/>
        <v>-1.233733680885639</v>
      </c>
      <c r="N60">
        <f t="shared" si="64"/>
        <v>1.7802404948363257</v>
      </c>
      <c r="O60">
        <f t="shared" si="65"/>
        <v>1.7802405006634003</v>
      </c>
      <c r="P60">
        <f>N60^3-N60^2*EXP(-0.5*N60)-3*N60+1</f>
        <v>-3.3193495951877594E-8</v>
      </c>
      <c r="Q60">
        <f>O60^3-O60^2*EXP(-0.5*O60)-3*O60+1</f>
        <v>2.6467716907063732E-13</v>
      </c>
      <c r="R60">
        <f t="shared" si="66"/>
        <v>1.7802405006633539</v>
      </c>
    </row>
    <row r="61" spans="2:18" x14ac:dyDescent="0.3">
      <c r="B61">
        <f t="shared" si="54"/>
        <v>-1.2265121910758794</v>
      </c>
      <c r="C61">
        <f t="shared" si="55"/>
        <v>-1.233733680885639</v>
      </c>
      <c r="D61">
        <f t="shared" si="56"/>
        <v>5.6805129595279169E-2</v>
      </c>
      <c r="E61">
        <f t="shared" si="57"/>
        <v>2.7156741815974605E-3</v>
      </c>
      <c r="F61" s="12">
        <f t="shared" si="58"/>
        <v>-1.2340962508778683</v>
      </c>
      <c r="N61">
        <f t="shared" si="64"/>
        <v>1.7802405006634003</v>
      </c>
      <c r="O61">
        <f t="shared" si="65"/>
        <v>1.7802405006633539</v>
      </c>
      <c r="P61">
        <f>N61^3-N61^2*EXP(-0.5*N61)-3*N61+1</f>
        <v>2.6467716907063732E-13</v>
      </c>
      <c r="Q61">
        <f>O61^3-O61^2*EXP(-0.5*O61)-3*O61+1</f>
        <v>0</v>
      </c>
      <c r="R61" s="12">
        <f t="shared" si="66"/>
        <v>1.7802405006633539</v>
      </c>
    </row>
    <row r="62" spans="2:18" x14ac:dyDescent="0.3">
      <c r="B62">
        <f t="shared" si="54"/>
        <v>-1.233733680885639</v>
      </c>
      <c r="C62">
        <f t="shared" si="55"/>
        <v>-1.2340962508778683</v>
      </c>
      <c r="D62">
        <f t="shared" si="56"/>
        <v>2.7156741815974605E-3</v>
      </c>
      <c r="E62">
        <f t="shared" si="57"/>
        <v>-2.2480927009294049E-5</v>
      </c>
      <c r="F62">
        <f t="shared" si="58"/>
        <v>-1.2340932740890425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A863-EB7D-41DD-AD2A-15269A7199C5}">
  <dimension ref="B2:K37"/>
  <sheetViews>
    <sheetView zoomScaleNormal="130" workbookViewId="0">
      <selection activeCell="C2" sqref="C2"/>
    </sheetView>
  </sheetViews>
  <sheetFormatPr baseColWidth="10" defaultRowHeight="14.4" x14ac:dyDescent="0.3"/>
  <sheetData>
    <row r="2" spans="2:7" x14ac:dyDescent="0.3">
      <c r="B2" t="s">
        <v>1</v>
      </c>
      <c r="C2" t="s">
        <v>22</v>
      </c>
    </row>
    <row r="5" spans="2:7" x14ac:dyDescent="0.3">
      <c r="B5" s="14" t="s">
        <v>5</v>
      </c>
      <c r="C5" s="14" t="s">
        <v>6</v>
      </c>
    </row>
    <row r="6" spans="2:7" x14ac:dyDescent="0.3">
      <c r="B6" s="8">
        <v>3.7</v>
      </c>
      <c r="C6" s="8">
        <f>COS(B6)^2 - 0.5 * B6 * EXP(0.3 * B6) + 5</f>
        <v>0.10571063408119485</v>
      </c>
    </row>
    <row r="7" spans="2:7" x14ac:dyDescent="0.3">
      <c r="B7" s="8">
        <v>4</v>
      </c>
      <c r="C7" s="8">
        <f>COS(B7)^2 - 0.5 * B7 * EXP(0.3 * B7) + 5</f>
        <v>-1.212983862377401</v>
      </c>
    </row>
    <row r="16" spans="2:7" x14ac:dyDescent="0.3">
      <c r="B16" s="9" t="s">
        <v>8</v>
      </c>
      <c r="C16" s="9" t="s">
        <v>9</v>
      </c>
      <c r="D16" s="9" t="s">
        <v>14</v>
      </c>
      <c r="E16" s="9" t="s">
        <v>10</v>
      </c>
      <c r="F16" s="9" t="s">
        <v>11</v>
      </c>
      <c r="G16" s="9" t="s">
        <v>12</v>
      </c>
    </row>
    <row r="17" spans="2:11" x14ac:dyDescent="0.3">
      <c r="B17">
        <v>3.7</v>
      </c>
      <c r="C17">
        <v>4</v>
      </c>
      <c r="D17">
        <f>(B17+C17)/2</f>
        <v>3.85</v>
      </c>
      <c r="E17">
        <f>COS(B17)^2 - 0.5 * B17 * EXP(0.3 * B17) + 5</f>
        <v>0.10571063408119485</v>
      </c>
      <c r="F17">
        <f t="shared" ref="F17:G17" si="0">COS(C17)^2 - 0.5 * C17 * EXP(0.3 * C17) + 5</f>
        <v>-1.212983862377401</v>
      </c>
      <c r="G17">
        <f t="shared" si="0"/>
        <v>-0.53330814772169877</v>
      </c>
    </row>
    <row r="18" spans="2:11" x14ac:dyDescent="0.3">
      <c r="B18">
        <f>B17</f>
        <v>3.7</v>
      </c>
      <c r="C18">
        <f>D17</f>
        <v>3.85</v>
      </c>
      <c r="D18">
        <f>(B18+C18)/2</f>
        <v>3.7750000000000004</v>
      </c>
      <c r="E18">
        <f>COS(B18)^2 - 0.5 * B18 * EXP(0.3 * B18) + 5</f>
        <v>0.10571063408119485</v>
      </c>
      <c r="F18">
        <f t="shared" ref="F18" si="1">COS(C18)^2 - 0.5 * C18 * EXP(0.3 * C18) + 5</f>
        <v>-0.53330814772169877</v>
      </c>
      <c r="G18">
        <f t="shared" ref="G18" si="2">COS(D18)^2 - 0.5 * D18 * EXP(0.3 * D18) + 5</f>
        <v>-0.20801672069018728</v>
      </c>
    </row>
    <row r="19" spans="2:11" x14ac:dyDescent="0.3">
      <c r="B19">
        <f>B18</f>
        <v>3.7</v>
      </c>
      <c r="C19">
        <f>D18</f>
        <v>3.7750000000000004</v>
      </c>
      <c r="D19">
        <f>(B19+C19)/2</f>
        <v>3.7375000000000003</v>
      </c>
      <c r="E19">
        <f>COS(B19)^2 - 0.5 * B19 * EXP(0.3 * B19) + 5</f>
        <v>0.10571063408119485</v>
      </c>
      <c r="F19">
        <f t="shared" ref="F19" si="3">COS(C19)^2 - 0.5 * C19 * EXP(0.3 * C19) + 5</f>
        <v>-0.20801672069018728</v>
      </c>
      <c r="G19">
        <f t="shared" ref="G19" si="4">COS(D19)^2 - 0.5 * D19 * EXP(0.3 * D19) + 5</f>
        <v>-4.9622798338023522E-2</v>
      </c>
    </row>
    <row r="20" spans="2:11" x14ac:dyDescent="0.3">
      <c r="B20">
        <f>B19</f>
        <v>3.7</v>
      </c>
      <c r="C20">
        <f>D19</f>
        <v>3.7375000000000003</v>
      </c>
      <c r="D20" s="10">
        <f>(B20+C20)/2</f>
        <v>3.71875</v>
      </c>
      <c r="E20">
        <f>COS(B20)^2 - 0.5 * B20 * EXP(0.3 * B20) + 5</f>
        <v>0.10571063408119485</v>
      </c>
      <c r="F20">
        <f t="shared" ref="F20" si="5">COS(C20)^2 - 0.5 * C20 * EXP(0.3 * C20) + 5</f>
        <v>-4.9622798338023522E-2</v>
      </c>
      <c r="G20">
        <f t="shared" ref="G20" si="6">COS(D20)^2 - 0.5 * D20 * EXP(0.3 * D20) + 5</f>
        <v>2.8436804737782317E-2</v>
      </c>
    </row>
    <row r="21" spans="2:11" x14ac:dyDescent="0.3">
      <c r="B21">
        <f>D20</f>
        <v>3.71875</v>
      </c>
      <c r="C21">
        <f>C20</f>
        <v>3.7375000000000003</v>
      </c>
      <c r="D21" s="10">
        <f>(B21+C21)/2</f>
        <v>3.7281250000000004</v>
      </c>
      <c r="E21">
        <f>COS(B21)^2 - 0.5 * B21 * EXP(0.3 * B21) + 5</f>
        <v>2.8436804737782317E-2</v>
      </c>
      <c r="F21">
        <f t="shared" ref="F21" si="7">COS(C21)^2 - 0.5 * C21 * EXP(0.3 * C21) + 5</f>
        <v>-4.9622798338023522E-2</v>
      </c>
      <c r="G21">
        <f t="shared" ref="G21" si="8">COS(D21)^2 - 0.5 * D21 * EXP(0.3 * D21) + 5</f>
        <v>-1.0496052119297161E-2</v>
      </c>
    </row>
    <row r="22" spans="2:11" x14ac:dyDescent="0.3">
      <c r="B22">
        <f>B21</f>
        <v>3.71875</v>
      </c>
      <c r="C22">
        <f>D21</f>
        <v>3.7281250000000004</v>
      </c>
      <c r="D22">
        <f>(B22+C22)/2</f>
        <v>3.7234375000000002</v>
      </c>
      <c r="E22">
        <f>COS(B22)^2 - 0.5 * B22 * EXP(0.3 * B22) + 5</f>
        <v>2.8436804737782317E-2</v>
      </c>
      <c r="F22">
        <f t="shared" ref="F22" si="9">COS(C22)^2 - 0.5 * C22 * EXP(0.3 * C22) + 5</f>
        <v>-1.0496052119297161E-2</v>
      </c>
      <c r="G22">
        <f t="shared" ref="G22" si="10">COS(D22)^2 - 0.5 * D22 * EXP(0.3 * D22) + 5</f>
        <v>8.994773009344037E-3</v>
      </c>
    </row>
    <row r="29" spans="2:11" x14ac:dyDescent="0.3">
      <c r="B29" t="s">
        <v>30</v>
      </c>
      <c r="G29" t="s">
        <v>32</v>
      </c>
    </row>
    <row r="30" spans="2:11" x14ac:dyDescent="0.3">
      <c r="B30" s="6" t="s">
        <v>5</v>
      </c>
      <c r="C30" s="6" t="s">
        <v>6</v>
      </c>
      <c r="D30" s="6" t="s">
        <v>27</v>
      </c>
      <c r="G30" s="13" t="s">
        <v>8</v>
      </c>
      <c r="H30" s="13" t="s">
        <v>9</v>
      </c>
      <c r="I30" s="13" t="s">
        <v>10</v>
      </c>
      <c r="J30" s="13" t="s">
        <v>11</v>
      </c>
      <c r="K30" s="13" t="s">
        <v>14</v>
      </c>
    </row>
    <row r="31" spans="2:11" x14ac:dyDescent="0.3">
      <c r="B31">
        <v>3.7</v>
      </c>
      <c r="C31">
        <f>COS(B31)^2 - 0.5 * B31 * EXP(0.3 * B31) + 5</f>
        <v>0.10571063408119485</v>
      </c>
      <c r="D31">
        <f>-SIN(2*B31)-EXP(0.5+0.15*B31)</f>
        <v>-3.7706832497129739</v>
      </c>
      <c r="G31">
        <v>3.7</v>
      </c>
      <c r="H31">
        <v>4</v>
      </c>
      <c r="I31">
        <f>COS(G31)^2 - 0.5 * G31 * EXP(0.3 * G31) + 5</f>
        <v>0.10571063408119485</v>
      </c>
      <c r="J31">
        <f>COS(H31)^2 - 0.5 * H31 * EXP(0.3 * H31) + 5</f>
        <v>-1.212983862377401</v>
      </c>
      <c r="K31">
        <f>H31-J31*((H31-G31)/(J31-I31))</f>
        <v>3.7240489289289718</v>
      </c>
    </row>
    <row r="32" spans="2:11" x14ac:dyDescent="0.3">
      <c r="B32">
        <f>B31-(C31/D31)</f>
        <v>3.7280348751354921</v>
      </c>
      <c r="C32">
        <f>COS(B32)^2 - 0.5 * B32 * EXP(0.3 * B32) + 5</f>
        <v>-1.0120851031198974E-2</v>
      </c>
      <c r="D32">
        <f>-SIN(2*B32)-EXP(0.5+0.15*B32)</f>
        <v>-3.8059500394013788</v>
      </c>
      <c r="G32">
        <f>H31</f>
        <v>4</v>
      </c>
      <c r="H32">
        <f>K31</f>
        <v>3.7240489289289718</v>
      </c>
      <c r="I32">
        <f>COS(G32)^2 - 0.5 * G32 * EXP(0.3 * G32) + 5</f>
        <v>-1.212983862377401</v>
      </c>
      <c r="J32">
        <f>COS(H32)^2 - 0.5 * H32 * EXP(0.3 * H32) + 5</f>
        <v>6.4551857514922872E-3</v>
      </c>
      <c r="K32">
        <f>H32-J32*((G32-H32)/(J32-I32))</f>
        <v>3.7225881626653194</v>
      </c>
    </row>
    <row r="33" spans="2:11" x14ac:dyDescent="0.3">
      <c r="B33">
        <f t="shared" ref="B33:B37" si="11">B32-(C32/D32)</f>
        <v>3.7253756570883758</v>
      </c>
      <c r="C33">
        <f t="shared" ref="C33:C37" si="12">COS(B33)^2 - 0.5 * B33 * EXP(0.3 * B33) + 5</f>
        <v>9.4173131841301938E-4</v>
      </c>
      <c r="D33">
        <f t="shared" ref="D33:D37" si="13">-SIN(2*B33)-EXP(0.5+0.15*B33)</f>
        <v>-3.8027259686218424</v>
      </c>
      <c r="G33">
        <f t="shared" ref="G33:G50" si="14">H32</f>
        <v>3.7240489289289718</v>
      </c>
      <c r="H33">
        <f t="shared" ref="H33:H36" si="15">K32</f>
        <v>3.7225881626653194</v>
      </c>
      <c r="I33">
        <f t="shared" ref="I33:I36" si="16">COS(G33)^2 - 0.5 * G33 * EXP(0.3 * G33) + 5</f>
        <v>6.4551857514922872E-3</v>
      </c>
      <c r="J33">
        <f t="shared" ref="J33:J36" si="17">COS(H33)^2 - 0.5 * H33 * EXP(0.3 * H33) + 5</f>
        <v>1.2521141810623249E-2</v>
      </c>
      <c r="K33" s="12">
        <f t="shared" ref="K33:K36" si="18">H33-J33*((G33-H33)/(J33-I33))</f>
        <v>3.719572898235266</v>
      </c>
    </row>
    <row r="34" spans="2:11" x14ac:dyDescent="0.3">
      <c r="B34" s="7">
        <f t="shared" si="11"/>
        <v>3.7256233034678896</v>
      </c>
      <c r="C34">
        <f t="shared" si="12"/>
        <v>-8.7839127644429027E-5</v>
      </c>
      <c r="D34">
        <f t="shared" si="13"/>
        <v>-3.8030272985063744</v>
      </c>
      <c r="G34">
        <f t="shared" si="14"/>
        <v>3.7225881626653194</v>
      </c>
      <c r="H34">
        <f t="shared" si="15"/>
        <v>3.719572898235266</v>
      </c>
      <c r="I34">
        <f t="shared" si="16"/>
        <v>1.2521141810623249E-2</v>
      </c>
      <c r="J34">
        <f t="shared" si="17"/>
        <v>2.502726958728374E-2</v>
      </c>
      <c r="K34">
        <f t="shared" si="18"/>
        <v>3.7135387494471233</v>
      </c>
    </row>
    <row r="35" spans="2:11" x14ac:dyDescent="0.3">
      <c r="B35">
        <f t="shared" si="11"/>
        <v>3.7256002063085085</v>
      </c>
      <c r="C35">
        <f t="shared" si="12"/>
        <v>8.1912470122347258E-6</v>
      </c>
      <c r="D35">
        <f t="shared" si="13"/>
        <v>-3.8029992038379348</v>
      </c>
      <c r="G35">
        <f t="shared" si="14"/>
        <v>3.719572898235266</v>
      </c>
      <c r="H35">
        <f t="shared" si="15"/>
        <v>3.7135387494471233</v>
      </c>
      <c r="I35">
        <f t="shared" si="16"/>
        <v>2.502726958728374E-2</v>
      </c>
      <c r="J35">
        <f t="shared" si="17"/>
        <v>4.9993497312798674E-2</v>
      </c>
      <c r="K35">
        <f t="shared" si="18"/>
        <v>3.7014556985136116</v>
      </c>
    </row>
    <row r="36" spans="2:11" x14ac:dyDescent="0.3">
      <c r="B36">
        <f t="shared" si="11"/>
        <v>3.7256023601998383</v>
      </c>
      <c r="C36">
        <f t="shared" si="12"/>
        <v>-7.6387316649828563E-7</v>
      </c>
      <c r="D36">
        <f t="shared" si="13"/>
        <v>-3.8030018238460936</v>
      </c>
      <c r="G36">
        <f t="shared" si="14"/>
        <v>3.7135387494471233</v>
      </c>
      <c r="H36">
        <f t="shared" si="15"/>
        <v>3.7014556985136116</v>
      </c>
      <c r="I36">
        <f t="shared" si="16"/>
        <v>4.9993497312798674E-2</v>
      </c>
      <c r="J36">
        <f t="shared" si="17"/>
        <v>9.9739906391838495E-2</v>
      </c>
      <c r="K36">
        <f t="shared" si="18"/>
        <v>3.6772295806621411</v>
      </c>
    </row>
    <row r="37" spans="2:11" x14ac:dyDescent="0.3">
      <c r="B37">
        <f t="shared" si="11"/>
        <v>3.7256021593392545</v>
      </c>
      <c r="C37">
        <f t="shared" si="12"/>
        <v>7.123470346925842E-8</v>
      </c>
      <c r="D37">
        <f t="shared" si="13"/>
        <v>-3.8030015795186136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EJERCICIO1</vt:lpstr>
      <vt:lpstr>EJERCICIO2</vt:lpstr>
      <vt:lpstr>EJERCICIO3</vt:lpstr>
      <vt:lpstr>EJERCICIO4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ESCARLET</dc:creator>
  <cp:lastModifiedBy>ESCARLET</cp:lastModifiedBy>
  <dcterms:created xsi:type="dcterms:W3CDTF">2025-11-22T20:49:37Z</dcterms:created>
  <dcterms:modified xsi:type="dcterms:W3CDTF">2025-11-23T04:57:04Z</dcterms:modified>
</cp:coreProperties>
</file>